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FILE KERJA\0. TRI DARMA PT\1. ILKOM-Metode Numerik\2025-Pembelajaran Metode Numerik\"/>
    </mc:Choice>
  </mc:AlternateContent>
  <xr:revisionPtr revIDLastSave="0" documentId="13_ncr:1_{6D9089C1-DBF5-4AA1-9FC4-03C3D2945AF6}" xr6:coauthVersionLast="47" xr6:coauthVersionMax="47" xr10:uidLastSave="{00000000-0000-0000-0000-000000000000}"/>
  <bookViews>
    <workbookView xWindow="-120" yWindow="-120" windowWidth="20730" windowHeight="11160" activeTab="1" xr2:uid="{73514DCC-D7C0-456C-B215-D9A951230B4C}"/>
  </bookViews>
  <sheets>
    <sheet name="B-BagiDua" sheetId="1" r:id="rId1"/>
    <sheet name="B-RegulaFal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E7" i="2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G8" i="1"/>
  <c r="G9" i="1"/>
  <c r="G10" i="1"/>
  <c r="G11" i="1"/>
  <c r="C7" i="1"/>
  <c r="K7" i="1" s="1"/>
  <c r="G7" i="1"/>
  <c r="E7" i="1"/>
  <c r="C7" i="2" l="1"/>
  <c r="F7" i="2" s="1"/>
  <c r="I7" i="2" s="1"/>
  <c r="I23" i="1"/>
  <c r="H23" i="1"/>
  <c r="H17" i="1"/>
  <c r="I24" i="1"/>
  <c r="H21" i="1"/>
  <c r="H16" i="1"/>
  <c r="H19" i="1"/>
  <c r="H18" i="1"/>
  <c r="I25" i="1"/>
  <c r="I22" i="1"/>
  <c r="H22" i="1"/>
  <c r="H25" i="1"/>
  <c r="B8" i="1"/>
  <c r="I21" i="1"/>
  <c r="H24" i="1"/>
  <c r="I20" i="1"/>
  <c r="I17" i="1"/>
  <c r="H20" i="1"/>
  <c r="I19" i="1"/>
  <c r="I16" i="1"/>
  <c r="I18" i="1"/>
  <c r="H15" i="1"/>
  <c r="I15" i="1"/>
  <c r="F7" i="1"/>
  <c r="I7" i="1" s="1"/>
  <c r="B8" i="2" l="1"/>
  <c r="K7" i="2"/>
  <c r="H7" i="2"/>
  <c r="E8" i="1"/>
  <c r="C8" i="1"/>
  <c r="B9" i="1" s="1"/>
  <c r="H7" i="1"/>
  <c r="E8" i="2" l="1"/>
  <c r="C8" i="2" s="1"/>
  <c r="B9" i="2" s="1"/>
  <c r="C9" i="1"/>
  <c r="B10" i="1" s="1"/>
  <c r="E9" i="1"/>
  <c r="F8" i="1"/>
  <c r="I8" i="1" s="1"/>
  <c r="K8" i="1"/>
  <c r="E9" i="2" l="1"/>
  <c r="G9" i="2"/>
  <c r="K8" i="2"/>
  <c r="F8" i="2"/>
  <c r="I8" i="2" s="1"/>
  <c r="E10" i="1"/>
  <c r="C10" i="1"/>
  <c r="B11" i="1" s="1"/>
  <c r="B12" i="1" s="1"/>
  <c r="B13" i="1" s="1"/>
  <c r="B14" i="1" s="1"/>
  <c r="F9" i="1"/>
  <c r="I9" i="1" s="1"/>
  <c r="K9" i="1"/>
  <c r="H8" i="1"/>
  <c r="C9" i="2" l="1"/>
  <c r="B10" i="2" s="1"/>
  <c r="E10" i="2" s="1"/>
  <c r="H8" i="2"/>
  <c r="E14" i="1"/>
  <c r="E13" i="1"/>
  <c r="E12" i="1"/>
  <c r="E11" i="1"/>
  <c r="C11" i="1"/>
  <c r="F10" i="1"/>
  <c r="I10" i="1" s="1"/>
  <c r="K10" i="1"/>
  <c r="H9" i="1"/>
  <c r="K9" i="2" l="1"/>
  <c r="F9" i="2"/>
  <c r="I9" i="2" s="1"/>
  <c r="G10" i="2"/>
  <c r="C10" i="2" s="1"/>
  <c r="B11" i="2" s="1"/>
  <c r="B12" i="2" s="1"/>
  <c r="B13" i="2" s="1"/>
  <c r="B14" i="2" s="1"/>
  <c r="F11" i="1"/>
  <c r="I11" i="1" s="1"/>
  <c r="D12" i="1"/>
  <c r="K11" i="1"/>
  <c r="H10" i="1"/>
  <c r="H9" i="2" l="1"/>
  <c r="B15" i="2"/>
  <c r="B16" i="2" s="1"/>
  <c r="B17" i="2" s="1"/>
  <c r="B18" i="2" s="1"/>
  <c r="G11" i="2"/>
  <c r="C11" i="2"/>
  <c r="K10" i="2"/>
  <c r="F10" i="2"/>
  <c r="I10" i="2" s="1"/>
  <c r="E11" i="2"/>
  <c r="H11" i="1"/>
  <c r="G12" i="1"/>
  <c r="C12" i="1"/>
  <c r="D13" i="1" s="1"/>
  <c r="B19" i="2" l="1"/>
  <c r="E18" i="2"/>
  <c r="E15" i="2"/>
  <c r="E17" i="2"/>
  <c r="E16" i="2"/>
  <c r="K11" i="2"/>
  <c r="D12" i="2"/>
  <c r="G12" i="2" s="1"/>
  <c r="H10" i="2"/>
  <c r="E12" i="2"/>
  <c r="F11" i="2"/>
  <c r="I11" i="2" s="1"/>
  <c r="G13" i="1"/>
  <c r="C13" i="1"/>
  <c r="D14" i="1" s="1"/>
  <c r="F12" i="1"/>
  <c r="K12" i="1"/>
  <c r="E19" i="2" l="1"/>
  <c r="C12" i="2"/>
  <c r="D13" i="2" s="1"/>
  <c r="H11" i="2"/>
  <c r="G14" i="1"/>
  <c r="C14" i="1"/>
  <c r="F14" i="1" s="1"/>
  <c r="F13" i="1"/>
  <c r="I13" i="1" s="1"/>
  <c r="K13" i="1"/>
  <c r="I12" i="1"/>
  <c r="H12" i="1"/>
  <c r="C13" i="2" l="1"/>
  <c r="D14" i="2" s="1"/>
  <c r="C14" i="2" s="1"/>
  <c r="E13" i="2"/>
  <c r="H13" i="1"/>
  <c r="F12" i="2"/>
  <c r="K12" i="2"/>
  <c r="E14" i="2"/>
  <c r="I14" i="1"/>
  <c r="H14" i="1"/>
  <c r="D15" i="2" l="1"/>
  <c r="G15" i="2" s="1"/>
  <c r="K14" i="2"/>
  <c r="G13" i="2"/>
  <c r="I12" i="2"/>
  <c r="H12" i="2"/>
  <c r="C15" i="2" l="1"/>
  <c r="D16" i="2" s="1"/>
  <c r="G16" i="2" s="1"/>
  <c r="F13" i="2"/>
  <c r="K13" i="2"/>
  <c r="F15" i="2" l="1"/>
  <c r="K15" i="2"/>
  <c r="C16" i="2"/>
  <c r="D17" i="2" s="1"/>
  <c r="G14" i="2"/>
  <c r="F14" i="2"/>
  <c r="I13" i="2"/>
  <c r="H13" i="2"/>
  <c r="K16" i="2" l="1"/>
  <c r="F16" i="2"/>
  <c r="H16" i="2" s="1"/>
  <c r="G17" i="2"/>
  <c r="C17" i="2"/>
  <c r="D18" i="2" s="1"/>
  <c r="I15" i="2"/>
  <c r="H15" i="2"/>
  <c r="I16" i="2"/>
  <c r="I14" i="2"/>
  <c r="H14" i="2"/>
  <c r="G18" i="2" l="1"/>
  <c r="C18" i="2"/>
  <c r="K18" i="2" s="1"/>
  <c r="F17" i="2"/>
  <c r="I17" i="2" s="1"/>
  <c r="K17" i="2"/>
  <c r="H17" i="2" l="1"/>
  <c r="D19" i="2"/>
  <c r="F18" i="2"/>
  <c r="I18" i="2" l="1"/>
  <c r="H18" i="2"/>
  <c r="G19" i="2"/>
  <c r="C19" i="2"/>
  <c r="F19" i="2" l="1"/>
  <c r="I19" i="2" s="1"/>
  <c r="K19" i="2"/>
  <c r="H19" i="2" l="1"/>
</calcChain>
</file>

<file path=xl/sharedStrings.xml><?xml version="1.0" encoding="utf-8"?>
<sst xmlns="http://schemas.openxmlformats.org/spreadsheetml/2006/main" count="51" uniqueCount="19">
  <si>
    <t>Selang</t>
  </si>
  <si>
    <t>a</t>
  </si>
  <si>
    <t>c</t>
  </si>
  <si>
    <t>b</t>
  </si>
  <si>
    <t>No.</t>
  </si>
  <si>
    <t>f(a)</t>
  </si>
  <si>
    <t>f(b)</t>
  </si>
  <si>
    <t>f(c )</t>
  </si>
  <si>
    <t>f(a).f(c )</t>
  </si>
  <si>
    <t>f(c ).f(b)</t>
  </si>
  <si>
    <t>Besar selisih (Absolut)</t>
  </si>
  <si>
    <t>f(a)--&gt; =(2*SIN(SQRT(B7)))-B7</t>
  </si>
  <si>
    <t>|c-b|</t>
  </si>
  <si>
    <t>selang baru</t>
  </si>
  <si>
    <t>|a-c|</t>
  </si>
  <si>
    <t>galat=0,0001</t>
  </si>
  <si>
    <t>c--&gt; =D7-((G7*(D7-B7))/(G7-E7))</t>
  </si>
  <si>
    <t>a=1 &amp; b=2</t>
  </si>
  <si>
    <t>a=1,0 &amp; b=2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</si>
</sst>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"/>
    <numFmt numFmtId="167" formatCode="0.000000"/>
    <numFmt numFmtId="170" formatCode="0.000000000"/>
    <numFmt numFmtId="175" formatCode="0.0000000000000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0" fontId="3" fillId="0" borderId="1" xfId="0" applyFont="1" applyBorder="1" applyAlignment="1">
      <alignment horizontal="center" wrapText="1"/>
    </xf>
    <xf numFmtId="167" fontId="1" fillId="0" borderId="1" xfId="0" applyNumberFormat="1" applyFont="1" applyBorder="1"/>
    <xf numFmtId="170" fontId="1" fillId="0" borderId="1" xfId="0" applyNumberFormat="1" applyFont="1" applyBorder="1"/>
    <xf numFmtId="170" fontId="1" fillId="2" borderId="1" xfId="0" applyNumberFormat="1" applyFont="1" applyFill="1" applyBorder="1"/>
    <xf numFmtId="170" fontId="1" fillId="0" borderId="1" xfId="0" applyNumberFormat="1" applyFont="1" applyFill="1" applyBorder="1"/>
    <xf numFmtId="165" fontId="1" fillId="0" borderId="1" xfId="0" quotePrefix="1" applyNumberFormat="1" applyFont="1" applyBorder="1"/>
    <xf numFmtId="175" fontId="1" fillId="0" borderId="1" xfId="0" applyNumberFormat="1" applyFont="1" applyBorder="1"/>
    <xf numFmtId="175" fontId="1" fillId="2" borderId="1" xfId="0" applyNumberFormat="1" applyFont="1" applyFill="1" applyBorder="1"/>
    <xf numFmtId="175" fontId="1" fillId="0" borderId="1" xfId="0" applyNumberFormat="1" applyFont="1" applyFill="1" applyBorder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5</xdr:col>
      <xdr:colOff>212793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A1497-71CF-4264-E282-5978270F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6200"/>
          <a:ext cx="2961905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5</xdr:col>
      <xdr:colOff>81825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D5459-A608-4683-96FD-F000C0EC0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6200"/>
          <a:ext cx="2955993" cy="409575"/>
        </a:xfrm>
        <a:prstGeom prst="rect">
          <a:avLst/>
        </a:prstGeom>
      </xdr:spPr>
    </xdr:pic>
    <xdr:clientData/>
  </xdr:twoCellAnchor>
  <xdr:twoCellAnchor editAs="oneCell">
    <xdr:from>
      <xdr:col>3</xdr:col>
      <xdr:colOff>439340</xdr:colOff>
      <xdr:row>0</xdr:row>
      <xdr:rowOff>29766</xdr:rowOff>
    </xdr:from>
    <xdr:to>
      <xdr:col>6</xdr:col>
      <xdr:colOff>658416</xdr:colOff>
      <xdr:row>5</xdr:row>
      <xdr:rowOff>8209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25AE51-D47D-B024-6308-2FF40912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9059" y="29766"/>
          <a:ext cx="2516982" cy="1169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358E-CC9F-4E9E-BA47-F6D66E402C6D}">
  <dimension ref="A2:K25"/>
  <sheetViews>
    <sheetView topLeftCell="A4" zoomScale="232" zoomScaleNormal="232" workbookViewId="0">
      <selection activeCell="E4" sqref="E4"/>
    </sheetView>
  </sheetViews>
  <sheetFormatPr defaultRowHeight="18.75" x14ac:dyDescent="0.3"/>
  <cols>
    <col min="1" max="1" width="5.140625" style="1" customWidth="1"/>
    <col min="2" max="4" width="9.140625" style="1"/>
    <col min="5" max="5" width="10.7109375" style="1" customWidth="1"/>
    <col min="6" max="7" width="11.140625" style="1" customWidth="1"/>
    <col min="8" max="8" width="16.5703125" style="1" customWidth="1"/>
    <col min="9" max="9" width="18" style="1" customWidth="1"/>
    <col min="10" max="10" width="10.7109375" style="1" customWidth="1"/>
    <col min="11" max="11" width="11.28515625" style="1" customWidth="1"/>
    <col min="12" max="16384" width="9.140625" style="1"/>
  </cols>
  <sheetData>
    <row r="2" spans="1:11" x14ac:dyDescent="0.3">
      <c r="H2" s="1" t="s">
        <v>11</v>
      </c>
    </row>
    <row r="4" spans="1:11" x14ac:dyDescent="0.3">
      <c r="A4" s="1" t="s">
        <v>0</v>
      </c>
      <c r="B4" s="1" t="s">
        <v>18</v>
      </c>
    </row>
    <row r="5" spans="1:11" x14ac:dyDescent="0.3">
      <c r="A5" s="1" t="s">
        <v>15</v>
      </c>
    </row>
    <row r="6" spans="1:11" s="3" customFormat="1" ht="30.75" customHeight="1" x14ac:dyDescent="0.3">
      <c r="A6" s="2" t="s">
        <v>4</v>
      </c>
      <c r="B6" s="2" t="s">
        <v>1</v>
      </c>
      <c r="C6" s="2" t="s">
        <v>2</v>
      </c>
      <c r="D6" s="2" t="s">
        <v>3</v>
      </c>
      <c r="E6" s="2" t="s">
        <v>5</v>
      </c>
      <c r="F6" s="2" t="s">
        <v>7</v>
      </c>
      <c r="G6" s="2" t="s">
        <v>6</v>
      </c>
      <c r="H6" s="2" t="s">
        <v>8</v>
      </c>
      <c r="I6" s="2" t="s">
        <v>9</v>
      </c>
      <c r="J6" s="6" t="s">
        <v>13</v>
      </c>
      <c r="K6" s="6" t="s">
        <v>10</v>
      </c>
    </row>
    <row r="7" spans="1:11" x14ac:dyDescent="0.3">
      <c r="A7" s="4">
        <v>1</v>
      </c>
      <c r="B7" s="5">
        <v>1</v>
      </c>
      <c r="C7" s="5">
        <f>(B7+D7)/2</f>
        <v>1.5</v>
      </c>
      <c r="D7" s="5">
        <v>2</v>
      </c>
      <c r="E7" s="4">
        <f>(2*SIN(SQRT(B7)))-B7</f>
        <v>0.68294196961579301</v>
      </c>
      <c r="F7" s="4">
        <f t="shared" ref="F7:G7" si="0">(2*SIN(SQRT(C7)))-C7</f>
        <v>0.38143866748288824</v>
      </c>
      <c r="G7" s="5">
        <f t="shared" si="0"/>
        <v>-2.4468108014528811E-2</v>
      </c>
      <c r="H7" s="8">
        <f>E7*F7</f>
        <v>0.26050047485838723</v>
      </c>
      <c r="I7" s="9">
        <f>F7*G7</f>
        <v>-9.3330825168892479E-3</v>
      </c>
      <c r="J7" s="4" t="s">
        <v>12</v>
      </c>
      <c r="K7" s="7">
        <f>ABS(C7-D7)</f>
        <v>0.5</v>
      </c>
    </row>
    <row r="8" spans="1:11" x14ac:dyDescent="0.3">
      <c r="A8" s="4">
        <v>2</v>
      </c>
      <c r="B8" s="5">
        <f>C7</f>
        <v>1.5</v>
      </c>
      <c r="C8" s="5">
        <f t="shared" ref="C8:C25" si="1">(B8+D8)/2</f>
        <v>1.75</v>
      </c>
      <c r="D8" s="5">
        <v>2</v>
      </c>
      <c r="E8" s="4">
        <f t="shared" ref="E8:E11" si="2">(2*SIN(SQRT(B8)))-B8</f>
        <v>0.38143866748288824</v>
      </c>
      <c r="F8" s="4">
        <f t="shared" ref="F8:F11" si="3">(2*SIN(SQRT(C8)))-C8</f>
        <v>0.18884952180834746</v>
      </c>
      <c r="G8" s="5">
        <f t="shared" ref="G8:G11" si="4">(2*SIN(SQRT(D8)))-D8</f>
        <v>-2.4468108014528811E-2</v>
      </c>
      <c r="H8" s="8">
        <f t="shared" ref="H8:H11" si="5">E8*F8</f>
        <v>7.2034509953356696E-2</v>
      </c>
      <c r="I8" s="9">
        <f t="shared" ref="I8:I11" si="6">F8*G8</f>
        <v>-4.6207904980987598E-3</v>
      </c>
      <c r="J8" s="4" t="s">
        <v>12</v>
      </c>
      <c r="K8" s="7">
        <f>ABS(C8-D8)</f>
        <v>0.25</v>
      </c>
    </row>
    <row r="9" spans="1:11" x14ac:dyDescent="0.3">
      <c r="A9" s="4">
        <v>3</v>
      </c>
      <c r="B9" s="5">
        <f>C8</f>
        <v>1.75</v>
      </c>
      <c r="C9" s="5">
        <f t="shared" si="1"/>
        <v>1.875</v>
      </c>
      <c r="D9" s="5">
        <v>2</v>
      </c>
      <c r="E9" s="4">
        <f t="shared" si="2"/>
        <v>0.18884952180834746</v>
      </c>
      <c r="F9" s="4">
        <f t="shared" si="3"/>
        <v>8.4538972254905254E-2</v>
      </c>
      <c r="G9" s="5">
        <f t="shared" si="4"/>
        <v>-2.4468108014528811E-2</v>
      </c>
      <c r="H9" s="8">
        <f t="shared" si="5"/>
        <v>1.5965144484508011E-2</v>
      </c>
      <c r="I9" s="9">
        <f t="shared" si="6"/>
        <v>-2.068508704570276E-3</v>
      </c>
      <c r="J9" s="4" t="s">
        <v>12</v>
      </c>
      <c r="K9" s="7">
        <f>ABS(C9-D9)</f>
        <v>0.125</v>
      </c>
    </row>
    <row r="10" spans="1:11" x14ac:dyDescent="0.3">
      <c r="A10" s="4">
        <v>4</v>
      </c>
      <c r="B10" s="5">
        <f>C9</f>
        <v>1.875</v>
      </c>
      <c r="C10" s="5">
        <f t="shared" si="1"/>
        <v>1.9375</v>
      </c>
      <c r="D10" s="5">
        <v>2</v>
      </c>
      <c r="E10" s="4">
        <f t="shared" si="2"/>
        <v>8.4538972254905254E-2</v>
      </c>
      <c r="F10" s="4">
        <f t="shared" si="3"/>
        <v>3.0595989364925691E-2</v>
      </c>
      <c r="G10" s="5">
        <f t="shared" si="4"/>
        <v>-2.4468108014528811E-2</v>
      </c>
      <c r="H10" s="8">
        <f t="shared" si="5"/>
        <v>2.5865534960328291E-3</v>
      </c>
      <c r="I10" s="9">
        <f t="shared" si="6"/>
        <v>-7.4862597259237659E-4</v>
      </c>
      <c r="J10" s="4" t="s">
        <v>12</v>
      </c>
      <c r="K10" s="7">
        <f>ABS(C10-D10)</f>
        <v>6.25E-2</v>
      </c>
    </row>
    <row r="11" spans="1:11" x14ac:dyDescent="0.3">
      <c r="A11" s="4">
        <v>5</v>
      </c>
      <c r="B11" s="5">
        <f>C10</f>
        <v>1.9375</v>
      </c>
      <c r="C11" s="5">
        <f t="shared" si="1"/>
        <v>1.96875</v>
      </c>
      <c r="D11" s="5">
        <v>2</v>
      </c>
      <c r="E11" s="4">
        <f t="shared" si="2"/>
        <v>3.0595989364925691E-2</v>
      </c>
      <c r="F11" s="4">
        <f t="shared" si="3"/>
        <v>3.2009678358098093E-3</v>
      </c>
      <c r="G11" s="5">
        <f t="shared" si="4"/>
        <v>-2.4468108014528811E-2</v>
      </c>
      <c r="H11" s="10">
        <f t="shared" si="5"/>
        <v>9.7936777861906132E-5</v>
      </c>
      <c r="I11" s="10">
        <f t="shared" si="6"/>
        <v>-7.8321626757626943E-5</v>
      </c>
      <c r="J11" s="4" t="s">
        <v>14</v>
      </c>
      <c r="K11" s="7">
        <f>ABS(B11-C11)</f>
        <v>3.125E-2</v>
      </c>
    </row>
    <row r="12" spans="1:11" x14ac:dyDescent="0.3">
      <c r="A12" s="4">
        <v>6</v>
      </c>
      <c r="B12" s="5">
        <f>B11</f>
        <v>1.9375</v>
      </c>
      <c r="C12" s="5">
        <f t="shared" si="1"/>
        <v>1.953125</v>
      </c>
      <c r="D12" s="5">
        <f>C11</f>
        <v>1.96875</v>
      </c>
      <c r="E12" s="4">
        <f t="shared" ref="E12:E25" si="7">(2*SIN(SQRT(B12)))-B12</f>
        <v>3.0595989364925691E-2</v>
      </c>
      <c r="F12" s="4">
        <f t="shared" ref="F12:F25" si="8">(2*SIN(SQRT(C12)))-C12</f>
        <v>1.6933116032240125E-2</v>
      </c>
      <c r="G12" s="5">
        <f t="shared" ref="G12:G25" si="9">(2*SIN(SQRT(D12)))-D12</f>
        <v>3.2009678358098093E-3</v>
      </c>
      <c r="H12" s="10">
        <f t="shared" ref="H12:H25" si="10">E12*F12</f>
        <v>5.1808543803747158E-4</v>
      </c>
      <c r="I12" s="10">
        <f t="shared" ref="I12:I25" si="11">F12*G12</f>
        <v>5.420235977923606E-5</v>
      </c>
      <c r="J12" s="4" t="s">
        <v>14</v>
      </c>
      <c r="K12" s="7">
        <f>ABS(B12-C12)</f>
        <v>1.5625E-2</v>
      </c>
    </row>
    <row r="13" spans="1:11" x14ac:dyDescent="0.3">
      <c r="A13" s="4">
        <v>7</v>
      </c>
      <c r="B13" s="5">
        <f>B12</f>
        <v>1.9375</v>
      </c>
      <c r="C13" s="5">
        <f t="shared" si="1"/>
        <v>1.9453125</v>
      </c>
      <c r="D13" s="5">
        <f>C12</f>
        <v>1.953125</v>
      </c>
      <c r="E13" s="4">
        <f t="shared" si="7"/>
        <v>3.0595989364925691E-2</v>
      </c>
      <c r="F13" s="4">
        <f t="shared" si="8"/>
        <v>2.3773260352418335E-2</v>
      </c>
      <c r="G13" s="5">
        <f t="shared" si="9"/>
        <v>1.6933116032240125E-2</v>
      </c>
      <c r="H13" s="10">
        <f t="shared" si="10"/>
        <v>7.2736642091220094E-4</v>
      </c>
      <c r="I13" s="10">
        <f t="shared" si="11"/>
        <v>4.0255537601215346E-4</v>
      </c>
      <c r="J13" s="4" t="s">
        <v>14</v>
      </c>
      <c r="K13" s="7">
        <f>ABS(B13-C13)</f>
        <v>7.8125E-3</v>
      </c>
    </row>
    <row r="14" spans="1:11" x14ac:dyDescent="0.3">
      <c r="A14" s="4">
        <v>8</v>
      </c>
      <c r="B14" s="5">
        <f>B13</f>
        <v>1.9375</v>
      </c>
      <c r="C14" s="5">
        <f t="shared" si="1"/>
        <v>1.94140625</v>
      </c>
      <c r="D14" s="5">
        <f>C13</f>
        <v>1.9453125</v>
      </c>
      <c r="E14" s="4">
        <f t="shared" si="7"/>
        <v>3.0595989364925691E-2</v>
      </c>
      <c r="F14" s="4">
        <f t="shared" si="8"/>
        <v>2.7186807854723494E-2</v>
      </c>
      <c r="G14" s="5">
        <f t="shared" si="9"/>
        <v>2.3773260352418335E-2</v>
      </c>
      <c r="H14" s="10">
        <f t="shared" si="10"/>
        <v>8.3180728398939824E-4</v>
      </c>
      <c r="I14" s="10">
        <f t="shared" si="11"/>
        <v>6.4631906128151341E-4</v>
      </c>
      <c r="J14" s="4"/>
      <c r="K14" s="7"/>
    </row>
    <row r="15" spans="1:11" x14ac:dyDescent="0.3">
      <c r="A15" s="4">
        <v>9</v>
      </c>
      <c r="B15" s="4"/>
      <c r="C15" s="5">
        <f t="shared" si="1"/>
        <v>0</v>
      </c>
      <c r="D15" s="4"/>
      <c r="E15" s="4">
        <f t="shared" si="7"/>
        <v>0</v>
      </c>
      <c r="F15" s="4">
        <f t="shared" si="8"/>
        <v>0</v>
      </c>
      <c r="G15" s="5">
        <f t="shared" si="9"/>
        <v>0</v>
      </c>
      <c r="H15" s="10">
        <f t="shared" si="10"/>
        <v>0</v>
      </c>
      <c r="I15" s="10">
        <f t="shared" si="11"/>
        <v>0</v>
      </c>
      <c r="J15" s="4"/>
      <c r="K15" s="7"/>
    </row>
    <row r="16" spans="1:11" x14ac:dyDescent="0.3">
      <c r="A16" s="4">
        <v>10</v>
      </c>
      <c r="B16" s="4"/>
      <c r="C16" s="5">
        <f t="shared" si="1"/>
        <v>0</v>
      </c>
      <c r="D16" s="4"/>
      <c r="E16" s="4">
        <f t="shared" si="7"/>
        <v>0</v>
      </c>
      <c r="F16" s="4">
        <f t="shared" si="8"/>
        <v>0</v>
      </c>
      <c r="G16" s="5">
        <f t="shared" si="9"/>
        <v>0</v>
      </c>
      <c r="H16" s="8">
        <f t="shared" si="10"/>
        <v>0</v>
      </c>
      <c r="I16" s="10">
        <f t="shared" si="11"/>
        <v>0</v>
      </c>
      <c r="J16" s="4"/>
      <c r="K16" s="7"/>
    </row>
    <row r="17" spans="1:11" x14ac:dyDescent="0.3">
      <c r="A17" s="4">
        <v>11</v>
      </c>
      <c r="B17" s="4"/>
      <c r="C17" s="5">
        <f t="shared" si="1"/>
        <v>0</v>
      </c>
      <c r="D17" s="4"/>
      <c r="E17" s="4">
        <f t="shared" si="7"/>
        <v>0</v>
      </c>
      <c r="F17" s="4">
        <f t="shared" si="8"/>
        <v>0</v>
      </c>
      <c r="G17" s="5">
        <f t="shared" si="9"/>
        <v>0</v>
      </c>
      <c r="H17" s="8">
        <f t="shared" si="10"/>
        <v>0</v>
      </c>
      <c r="I17" s="10">
        <f t="shared" si="11"/>
        <v>0</v>
      </c>
      <c r="J17" s="4"/>
      <c r="K17" s="7"/>
    </row>
    <row r="18" spans="1:11" x14ac:dyDescent="0.3">
      <c r="A18" s="4">
        <v>12</v>
      </c>
      <c r="B18" s="4"/>
      <c r="C18" s="5">
        <f t="shared" si="1"/>
        <v>0</v>
      </c>
      <c r="D18" s="4"/>
      <c r="E18" s="4">
        <f t="shared" si="7"/>
        <v>0</v>
      </c>
      <c r="F18" s="4">
        <f t="shared" si="8"/>
        <v>0</v>
      </c>
      <c r="G18" s="5">
        <f t="shared" si="9"/>
        <v>0</v>
      </c>
      <c r="H18" s="8">
        <f t="shared" si="10"/>
        <v>0</v>
      </c>
      <c r="I18" s="10">
        <f t="shared" si="11"/>
        <v>0</v>
      </c>
      <c r="J18" s="4"/>
      <c r="K18" s="7"/>
    </row>
    <row r="19" spans="1:11" x14ac:dyDescent="0.3">
      <c r="A19" s="4">
        <v>13</v>
      </c>
      <c r="B19" s="4"/>
      <c r="C19" s="5">
        <f t="shared" si="1"/>
        <v>0</v>
      </c>
      <c r="D19" s="4"/>
      <c r="E19" s="4">
        <f t="shared" si="7"/>
        <v>0</v>
      </c>
      <c r="F19" s="4">
        <f t="shared" si="8"/>
        <v>0</v>
      </c>
      <c r="G19" s="5">
        <f t="shared" si="9"/>
        <v>0</v>
      </c>
      <c r="H19" s="8">
        <f t="shared" si="10"/>
        <v>0</v>
      </c>
      <c r="I19" s="10">
        <f t="shared" si="11"/>
        <v>0</v>
      </c>
      <c r="J19" s="4"/>
      <c r="K19" s="7"/>
    </row>
    <row r="20" spans="1:11" x14ac:dyDescent="0.3">
      <c r="A20" s="4">
        <v>14</v>
      </c>
      <c r="B20" s="4"/>
      <c r="C20" s="5">
        <f t="shared" si="1"/>
        <v>0</v>
      </c>
      <c r="D20" s="4"/>
      <c r="E20" s="4">
        <f t="shared" si="7"/>
        <v>0</v>
      </c>
      <c r="F20" s="4">
        <f t="shared" si="8"/>
        <v>0</v>
      </c>
      <c r="G20" s="5">
        <f t="shared" si="9"/>
        <v>0</v>
      </c>
      <c r="H20" s="8">
        <f t="shared" si="10"/>
        <v>0</v>
      </c>
      <c r="I20" s="10">
        <f t="shared" si="11"/>
        <v>0</v>
      </c>
      <c r="J20" s="4"/>
      <c r="K20" s="7"/>
    </row>
    <row r="21" spans="1:11" x14ac:dyDescent="0.3">
      <c r="A21" s="4">
        <v>15</v>
      </c>
      <c r="B21" s="4"/>
      <c r="C21" s="5">
        <f t="shared" si="1"/>
        <v>0</v>
      </c>
      <c r="D21" s="4"/>
      <c r="E21" s="4">
        <f t="shared" si="7"/>
        <v>0</v>
      </c>
      <c r="F21" s="4">
        <f t="shared" si="8"/>
        <v>0</v>
      </c>
      <c r="G21" s="5">
        <f t="shared" si="9"/>
        <v>0</v>
      </c>
      <c r="H21" s="8">
        <f t="shared" si="10"/>
        <v>0</v>
      </c>
      <c r="I21" s="10">
        <f t="shared" si="11"/>
        <v>0</v>
      </c>
      <c r="J21" s="4"/>
      <c r="K21" s="7"/>
    </row>
    <row r="22" spans="1:11" x14ac:dyDescent="0.3">
      <c r="A22" s="4">
        <v>16</v>
      </c>
      <c r="B22" s="4"/>
      <c r="C22" s="5">
        <f t="shared" si="1"/>
        <v>0</v>
      </c>
      <c r="D22" s="4"/>
      <c r="E22" s="4">
        <f t="shared" si="7"/>
        <v>0</v>
      </c>
      <c r="F22" s="4">
        <f t="shared" si="8"/>
        <v>0</v>
      </c>
      <c r="G22" s="5">
        <f t="shared" si="9"/>
        <v>0</v>
      </c>
      <c r="H22" s="8">
        <f t="shared" si="10"/>
        <v>0</v>
      </c>
      <c r="I22" s="10">
        <f t="shared" si="11"/>
        <v>0</v>
      </c>
      <c r="J22" s="4"/>
      <c r="K22" s="7"/>
    </row>
    <row r="23" spans="1:11" x14ac:dyDescent="0.3">
      <c r="A23" s="4"/>
      <c r="B23" s="4"/>
      <c r="C23" s="5">
        <f t="shared" si="1"/>
        <v>0</v>
      </c>
      <c r="D23" s="4"/>
      <c r="E23" s="4">
        <f t="shared" si="7"/>
        <v>0</v>
      </c>
      <c r="F23" s="4">
        <f t="shared" si="8"/>
        <v>0</v>
      </c>
      <c r="G23" s="5">
        <f t="shared" si="9"/>
        <v>0</v>
      </c>
      <c r="H23" s="8">
        <f t="shared" si="10"/>
        <v>0</v>
      </c>
      <c r="I23" s="10">
        <f t="shared" si="11"/>
        <v>0</v>
      </c>
      <c r="J23" s="4"/>
      <c r="K23" s="4"/>
    </row>
    <row r="24" spans="1:11" x14ac:dyDescent="0.3">
      <c r="C24" s="5">
        <f t="shared" si="1"/>
        <v>0</v>
      </c>
      <c r="E24" s="4">
        <f t="shared" si="7"/>
        <v>0</v>
      </c>
      <c r="F24" s="4">
        <f t="shared" si="8"/>
        <v>0</v>
      </c>
      <c r="G24" s="5">
        <f t="shared" si="9"/>
        <v>0</v>
      </c>
      <c r="H24" s="8">
        <f t="shared" si="10"/>
        <v>0</v>
      </c>
      <c r="I24" s="10">
        <f t="shared" si="11"/>
        <v>0</v>
      </c>
    </row>
    <row r="25" spans="1:11" x14ac:dyDescent="0.3">
      <c r="C25" s="5">
        <f t="shared" si="1"/>
        <v>0</v>
      </c>
      <c r="E25" s="4">
        <f t="shared" si="7"/>
        <v>0</v>
      </c>
      <c r="F25" s="4">
        <f t="shared" si="8"/>
        <v>0</v>
      </c>
      <c r="G25" s="5">
        <f t="shared" si="9"/>
        <v>0</v>
      </c>
      <c r="H25" s="8">
        <f t="shared" si="10"/>
        <v>0</v>
      </c>
      <c r="I25" s="10">
        <f t="shared" si="11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D0AE-C612-4528-8660-74852E1C2711}">
  <dimension ref="A2:K25"/>
  <sheetViews>
    <sheetView tabSelected="1" topLeftCell="A13" zoomScale="208" zoomScaleNormal="208" workbookViewId="0">
      <selection activeCell="E20" sqref="E20"/>
    </sheetView>
  </sheetViews>
  <sheetFormatPr defaultRowHeight="18.75" x14ac:dyDescent="0.3"/>
  <cols>
    <col min="1" max="1" width="5.140625" style="1" customWidth="1"/>
    <col min="2" max="4" width="9.140625" style="1"/>
    <col min="5" max="6" width="12.7109375" style="1" customWidth="1"/>
    <col min="7" max="7" width="12.42578125" style="1" customWidth="1"/>
    <col min="8" max="8" width="24.5703125" style="1" customWidth="1"/>
    <col min="9" max="9" width="28.5703125" style="1" customWidth="1"/>
    <col min="10" max="10" width="10.7109375" style="1" customWidth="1"/>
    <col min="11" max="11" width="11.28515625" style="1" customWidth="1"/>
    <col min="12" max="16384" width="9.140625" style="1"/>
  </cols>
  <sheetData>
    <row r="2" spans="1:11" x14ac:dyDescent="0.3">
      <c r="H2" s="1" t="s">
        <v>11</v>
      </c>
    </row>
    <row r="3" spans="1:11" x14ac:dyDescent="0.3">
      <c r="H3" s="1" t="s">
        <v>16</v>
      </c>
    </row>
    <row r="4" spans="1:11" x14ac:dyDescent="0.3">
      <c r="A4" s="1" t="s">
        <v>0</v>
      </c>
      <c r="B4" s="1" t="s">
        <v>17</v>
      </c>
    </row>
    <row r="5" spans="1:11" x14ac:dyDescent="0.3">
      <c r="A5" s="1" t="s">
        <v>15</v>
      </c>
    </row>
    <row r="6" spans="1:11" s="3" customFormat="1" ht="30.75" customHeight="1" x14ac:dyDescent="0.3">
      <c r="A6" s="2" t="s">
        <v>4</v>
      </c>
      <c r="B6" s="2" t="s">
        <v>1</v>
      </c>
      <c r="C6" s="2" t="s">
        <v>2</v>
      </c>
      <c r="D6" s="2" t="s">
        <v>3</v>
      </c>
      <c r="E6" s="2" t="s">
        <v>5</v>
      </c>
      <c r="F6" s="2" t="s">
        <v>7</v>
      </c>
      <c r="G6" s="2" t="s">
        <v>6</v>
      </c>
      <c r="H6" s="2" t="s">
        <v>8</v>
      </c>
      <c r="I6" s="2" t="s">
        <v>9</v>
      </c>
      <c r="J6" s="6" t="s">
        <v>13</v>
      </c>
      <c r="K6" s="6" t="s">
        <v>10</v>
      </c>
    </row>
    <row r="7" spans="1:11" x14ac:dyDescent="0.3">
      <c r="A7" s="4">
        <v>1</v>
      </c>
      <c r="B7" s="5">
        <v>1</v>
      </c>
      <c r="C7" s="11">
        <f>D7-((G7*(D7-B7))/(G7-E7))</f>
        <v>1.9654117056170701</v>
      </c>
      <c r="D7" s="5">
        <v>2</v>
      </c>
      <c r="E7" s="4">
        <f>(2*SIN(SQRT(B7)))-B7</f>
        <v>0.68294196961579301</v>
      </c>
      <c r="F7" s="4">
        <f t="shared" ref="F7:G22" si="0">(2*SIN(SQRT(C7)))-C7</f>
        <v>6.140633634094117E-3</v>
      </c>
      <c r="G7" s="5">
        <f t="shared" si="0"/>
        <v>-2.4468108014528811E-2</v>
      </c>
      <c r="H7" s="12">
        <f>E7*F7</f>
        <v>4.1936964287572209E-3</v>
      </c>
      <c r="I7" s="13">
        <f>F7*G7</f>
        <v>-1.5024968703666343E-4</v>
      </c>
      <c r="J7" s="4" t="s">
        <v>12</v>
      </c>
      <c r="K7" s="7">
        <f>ABS(C7-D7)</f>
        <v>3.4588294382929874E-2</v>
      </c>
    </row>
    <row r="8" spans="1:11" x14ac:dyDescent="0.3">
      <c r="A8" s="4">
        <v>2</v>
      </c>
      <c r="B8" s="5">
        <f>C7</f>
        <v>1.9654117056170701</v>
      </c>
      <c r="C8" s="11">
        <f t="shared" ref="C8:C10" si="1">D8-((G8*(D8-B8))/(G8-E8))</f>
        <v>1.9723507051444591</v>
      </c>
      <c r="D8" s="5">
        <v>2</v>
      </c>
      <c r="E8" s="4">
        <f t="shared" ref="E8:G23" si="2">(2*SIN(SQRT(B8)))-B8</f>
        <v>6.140633634094117E-3</v>
      </c>
      <c r="F8" s="4">
        <f t="shared" si="0"/>
        <v>2.6720572510186003E-5</v>
      </c>
      <c r="G8" s="5">
        <f t="shared" si="0"/>
        <v>-2.4468108014528811E-2</v>
      </c>
      <c r="H8" s="14">
        <f t="shared" ref="H8:I23" si="3">E8*F8</f>
        <v>1.6408124627829883E-7</v>
      </c>
      <c r="I8" s="13">
        <f t="shared" si="3"/>
        <v>-6.538018543892804E-7</v>
      </c>
      <c r="J8" s="4" t="s">
        <v>12</v>
      </c>
      <c r="K8" s="7">
        <f>ABS(C8-D8)</f>
        <v>2.7649294855540907E-2</v>
      </c>
    </row>
    <row r="9" spans="1:11" x14ac:dyDescent="0.3">
      <c r="A9" s="4">
        <v>3</v>
      </c>
      <c r="B9" s="5">
        <f>C8</f>
        <v>1.9723507051444591</v>
      </c>
      <c r="C9" s="11">
        <f t="shared" si="1"/>
        <v>1.9723808668165614</v>
      </c>
      <c r="D9" s="5">
        <v>2</v>
      </c>
      <c r="E9" s="4">
        <f t="shared" si="2"/>
        <v>2.6720572510186003E-5</v>
      </c>
      <c r="F9" s="4">
        <f t="shared" si="0"/>
        <v>1.158288793767781E-7</v>
      </c>
      <c r="G9" s="5">
        <f t="shared" si="0"/>
        <v>-2.4468108014528811E-2</v>
      </c>
      <c r="H9" s="14">
        <f t="shared" si="3"/>
        <v>3.0950139701607875E-12</v>
      </c>
      <c r="I9" s="13">
        <f t="shared" si="3"/>
        <v>-2.8341135317928355E-9</v>
      </c>
      <c r="J9" s="4" t="s">
        <v>12</v>
      </c>
      <c r="K9" s="7">
        <f>ABS(C9-D9)</f>
        <v>2.761913318343856E-2</v>
      </c>
    </row>
    <row r="10" spans="1:11" x14ac:dyDescent="0.3">
      <c r="A10" s="4">
        <v>4</v>
      </c>
      <c r="B10" s="5">
        <f>C9</f>
        <v>1.9723808668165614</v>
      </c>
      <c r="C10" s="11">
        <f t="shared" si="1"/>
        <v>1.9723809975613702</v>
      </c>
      <c r="D10" s="5">
        <v>2</v>
      </c>
      <c r="E10" s="4">
        <f t="shared" si="2"/>
        <v>1.158288793767781E-7</v>
      </c>
      <c r="F10" s="4">
        <f t="shared" si="0"/>
        <v>5.0208903701332019E-10</v>
      </c>
      <c r="G10" s="5">
        <f t="shared" si="0"/>
        <v>-2.4468108014528811E-2</v>
      </c>
      <c r="H10" s="14">
        <f t="shared" si="3"/>
        <v>5.8156410504618542E-17</v>
      </c>
      <c r="I10" s="13">
        <f t="shared" si="3"/>
        <v>-1.2285168790552673E-11</v>
      </c>
      <c r="J10" s="4" t="s">
        <v>12</v>
      </c>
      <c r="K10" s="7">
        <f>ABS(C10-D10)</f>
        <v>2.7619002438629803E-2</v>
      </c>
    </row>
    <row r="11" spans="1:11" x14ac:dyDescent="0.3">
      <c r="A11" s="4">
        <v>5</v>
      </c>
      <c r="B11" s="5">
        <f>C10</f>
        <v>1.9723809975613702</v>
      </c>
      <c r="C11" s="5">
        <f t="shared" ref="C8:C25" si="4">(B11+D11)/2</f>
        <v>1.9861904987806851</v>
      </c>
      <c r="D11" s="5">
        <v>2</v>
      </c>
      <c r="E11" s="4">
        <f t="shared" si="2"/>
        <v>5.0208903701332019E-10</v>
      </c>
      <c r="F11" s="4">
        <f t="shared" si="0"/>
        <v>-1.2207623883260021E-2</v>
      </c>
      <c r="G11" s="5">
        <f t="shared" si="0"/>
        <v>-2.4468108014528811E-2</v>
      </c>
      <c r="H11" s="13">
        <f t="shared" si="3"/>
        <v>-6.1293141197668328E-12</v>
      </c>
      <c r="I11" s="14">
        <f t="shared" si="3"/>
        <v>2.9869745977634786E-4</v>
      </c>
      <c r="J11" s="4" t="s">
        <v>14</v>
      </c>
      <c r="K11" s="7">
        <f>ABS(B11-C11)</f>
        <v>1.3809501219314901E-2</v>
      </c>
    </row>
    <row r="12" spans="1:11" x14ac:dyDescent="0.3">
      <c r="A12" s="4">
        <v>6</v>
      </c>
      <c r="B12" s="5">
        <f>B11</f>
        <v>1.9723809975613702</v>
      </c>
      <c r="C12" s="5">
        <f t="shared" si="4"/>
        <v>1.9792857481710278</v>
      </c>
      <c r="D12" s="5">
        <f>C11</f>
        <v>1.9861904987806851</v>
      </c>
      <c r="E12" s="4">
        <f t="shared" si="2"/>
        <v>5.0208903701332019E-10</v>
      </c>
      <c r="F12" s="4">
        <f t="shared" si="0"/>
        <v>-6.0971720705622623E-3</v>
      </c>
      <c r="G12" s="5">
        <f t="shared" si="0"/>
        <v>-1.2207623883260021E-2</v>
      </c>
      <c r="H12" s="13">
        <f t="shared" si="3"/>
        <v>-3.061323253413118E-12</v>
      </c>
      <c r="I12" s="14">
        <f t="shared" si="3"/>
        <v>7.4431983388941831E-5</v>
      </c>
      <c r="J12" s="4" t="s">
        <v>14</v>
      </c>
      <c r="K12" s="7">
        <f>ABS(B12-C12)</f>
        <v>6.9047506096575617E-3</v>
      </c>
    </row>
    <row r="13" spans="1:11" x14ac:dyDescent="0.3">
      <c r="A13" s="4">
        <v>7</v>
      </c>
      <c r="B13" s="5">
        <f>B12</f>
        <v>1.9723809975613702</v>
      </c>
      <c r="C13" s="5">
        <f t="shared" si="4"/>
        <v>1.975833372866199</v>
      </c>
      <c r="D13" s="5">
        <f>C12</f>
        <v>1.9792857481710278</v>
      </c>
      <c r="E13" s="4">
        <f t="shared" si="2"/>
        <v>5.0208903701332019E-10</v>
      </c>
      <c r="F13" s="4">
        <f t="shared" si="0"/>
        <v>-3.0469218339395088E-3</v>
      </c>
      <c r="G13" s="5">
        <f t="shared" si="0"/>
        <v>-6.0971720705622623E-3</v>
      </c>
      <c r="H13" s="13">
        <f t="shared" si="3"/>
        <v>-1.5298260494575475E-12</v>
      </c>
      <c r="I13" s="14">
        <f t="shared" si="3"/>
        <v>1.8577606707082321E-5</v>
      </c>
      <c r="J13" s="4" t="s">
        <v>14</v>
      </c>
      <c r="K13" s="7">
        <f>ABS(B13-C13)</f>
        <v>3.4523753048287809E-3</v>
      </c>
    </row>
    <row r="14" spans="1:11" x14ac:dyDescent="0.3">
      <c r="A14" s="4">
        <v>8</v>
      </c>
      <c r="B14" s="5">
        <f>B13</f>
        <v>1.9723809975613702</v>
      </c>
      <c r="C14" s="5">
        <f t="shared" si="4"/>
        <v>1.9741071852137846</v>
      </c>
      <c r="D14" s="5">
        <f>C13</f>
        <v>1.975833372866199</v>
      </c>
      <c r="E14" s="4">
        <f t="shared" si="2"/>
        <v>5.0208903701332019E-10</v>
      </c>
      <c r="F14" s="4">
        <f t="shared" si="0"/>
        <v>-1.523044171030552E-3</v>
      </c>
      <c r="G14" s="5">
        <f t="shared" si="0"/>
        <v>-3.0469218339395088E-3</v>
      </c>
      <c r="H14" s="13">
        <f t="shared" si="3"/>
        <v>-7.6470378116148039E-13</v>
      </c>
      <c r="I14" s="14">
        <f t="shared" si="3"/>
        <v>4.6405965387672882E-6</v>
      </c>
      <c r="J14" s="4" t="s">
        <v>14</v>
      </c>
      <c r="K14" s="7">
        <f t="shared" ref="K14:K15" si="5">ABS(B14-C14)</f>
        <v>1.7261876524143904E-3</v>
      </c>
    </row>
    <row r="15" spans="1:11" x14ac:dyDescent="0.3">
      <c r="A15" s="4">
        <v>9</v>
      </c>
      <c r="B15" s="5">
        <f>B14</f>
        <v>1.9723809975613702</v>
      </c>
      <c r="C15" s="5">
        <f t="shared" si="4"/>
        <v>1.9732440913875773</v>
      </c>
      <c r="D15" s="5">
        <f>C14</f>
        <v>1.9741071852137846</v>
      </c>
      <c r="E15" s="4">
        <f t="shared" si="2"/>
        <v>5.0208903701332019E-10</v>
      </c>
      <c r="F15" s="4">
        <f t="shared" si="0"/>
        <v>-7.6141764722792438E-4</v>
      </c>
      <c r="G15" s="5">
        <f t="shared" si="0"/>
        <v>-1.523044171030552E-3</v>
      </c>
      <c r="H15" s="13">
        <f t="shared" si="3"/>
        <v>-3.8229945326161651E-13</v>
      </c>
      <c r="I15" s="14">
        <f t="shared" si="3"/>
        <v>1.1596727093302875E-6</v>
      </c>
      <c r="J15" s="4" t="s">
        <v>14</v>
      </c>
      <c r="K15" s="7">
        <f t="shared" si="5"/>
        <v>8.6309382620708419E-4</v>
      </c>
    </row>
    <row r="16" spans="1:11" x14ac:dyDescent="0.3">
      <c r="A16" s="4">
        <v>10</v>
      </c>
      <c r="B16" s="5">
        <f>B15</f>
        <v>1.9723809975613702</v>
      </c>
      <c r="C16" s="5">
        <f t="shared" si="4"/>
        <v>1.9728125444744737</v>
      </c>
      <c r="D16" s="5">
        <f>C15</f>
        <v>1.9732440913875773</v>
      </c>
      <c r="E16" s="4">
        <f t="shared" si="2"/>
        <v>5.0208903701332019E-10</v>
      </c>
      <c r="F16" s="4">
        <f t="shared" si="0"/>
        <v>-3.806825178123141E-4</v>
      </c>
      <c r="G16" s="5">
        <f t="shared" si="0"/>
        <v>-7.6141764722792438E-4</v>
      </c>
      <c r="H16" s="13">
        <f t="shared" si="3"/>
        <v>-1.9113651877619091E-13</v>
      </c>
      <c r="I16" s="14">
        <f t="shared" si="3"/>
        <v>2.8985838705345461E-7</v>
      </c>
      <c r="J16" s="4" t="s">
        <v>14</v>
      </c>
      <c r="K16" s="7">
        <f t="shared" ref="K16" si="6">ABS(B16-C16)</f>
        <v>4.315469131035421E-4</v>
      </c>
    </row>
    <row r="17" spans="1:11" x14ac:dyDescent="0.3">
      <c r="A17" s="4">
        <v>11</v>
      </c>
      <c r="B17" s="5">
        <f>B16</f>
        <v>1.9723809975613702</v>
      </c>
      <c r="C17" s="5">
        <f t="shared" si="4"/>
        <v>1.972596771017922</v>
      </c>
      <c r="D17" s="5">
        <f>C16</f>
        <v>1.9728125444744737</v>
      </c>
      <c r="E17" s="4">
        <f t="shared" si="2"/>
        <v>5.0208903701332019E-10</v>
      </c>
      <c r="F17" s="4">
        <f t="shared" si="0"/>
        <v>-1.9033449317862328E-4</v>
      </c>
      <c r="G17" s="5">
        <f t="shared" si="0"/>
        <v>-3.806825178123141E-4</v>
      </c>
      <c r="H17" s="13">
        <f t="shared" si="3"/>
        <v>-9.5564862390473319E-14</v>
      </c>
      <c r="I17" s="14">
        <f t="shared" si="3"/>
        <v>7.2457014089769038E-8</v>
      </c>
      <c r="J17" s="4" t="s">
        <v>14</v>
      </c>
      <c r="K17" s="7">
        <f t="shared" ref="K17" si="7">ABS(B17-C17)</f>
        <v>2.1577345655177105E-4</v>
      </c>
    </row>
    <row r="18" spans="1:11" x14ac:dyDescent="0.3">
      <c r="A18" s="4">
        <v>12</v>
      </c>
      <c r="B18" s="5">
        <f t="shared" ref="B18:B19" si="8">B17</f>
        <v>1.9723809975613702</v>
      </c>
      <c r="C18" s="5">
        <f t="shared" si="4"/>
        <v>1.9724888842896462</v>
      </c>
      <c r="D18" s="5">
        <f t="shared" ref="D18:D19" si="9">C17</f>
        <v>1.972596771017922</v>
      </c>
      <c r="E18" s="4">
        <f t="shared" si="2"/>
        <v>5.0208903701332019E-10</v>
      </c>
      <c r="F18" s="4">
        <f t="shared" si="0"/>
        <v>-9.5165366750027403E-5</v>
      </c>
      <c r="G18" s="5">
        <f t="shared" si="0"/>
        <v>-1.9033449317862328E-4</v>
      </c>
      <c r="H18" s="13">
        <f t="shared" si="3"/>
        <v>-4.77814873485407E-14</v>
      </c>
      <c r="I18" s="14">
        <f t="shared" si="3"/>
        <v>1.8113251848524273E-8</v>
      </c>
      <c r="J18" s="4" t="s">
        <v>14</v>
      </c>
      <c r="K18" s="7">
        <f t="shared" ref="K18:K19" si="10">ABS(B18-C18)</f>
        <v>1.0788672827599655E-4</v>
      </c>
    </row>
    <row r="19" spans="1:11" x14ac:dyDescent="0.3">
      <c r="A19" s="4">
        <v>13</v>
      </c>
      <c r="B19" s="5">
        <f t="shared" si="8"/>
        <v>1.9723809975613702</v>
      </c>
      <c r="C19" s="15">
        <f t="shared" si="4"/>
        <v>1.9724349409255082</v>
      </c>
      <c r="D19" s="5">
        <f t="shared" si="9"/>
        <v>1.9724888842896462</v>
      </c>
      <c r="E19" s="4">
        <f t="shared" si="2"/>
        <v>5.0208903701332019E-10</v>
      </c>
      <c r="F19" s="4">
        <f t="shared" si="0"/>
        <v>-4.7582025116232884E-5</v>
      </c>
      <c r="G19" s="5">
        <f t="shared" si="0"/>
        <v>-9.5165366750027403E-5</v>
      </c>
      <c r="H19" s="13">
        <f t="shared" si="3"/>
        <v>-2.3890413169752985E-14</v>
      </c>
      <c r="I19" s="14">
        <f t="shared" si="3"/>
        <v>4.5281608708953177E-9</v>
      </c>
      <c r="J19" s="4" t="s">
        <v>14</v>
      </c>
      <c r="K19" s="7">
        <f t="shared" si="10"/>
        <v>5.3943364137998273E-5</v>
      </c>
    </row>
    <row r="20" spans="1:11" x14ac:dyDescent="0.3">
      <c r="A20" s="4">
        <v>14</v>
      </c>
      <c r="B20" s="4"/>
      <c r="C20" s="5"/>
      <c r="D20" s="4"/>
      <c r="E20" s="4"/>
      <c r="F20" s="4"/>
      <c r="G20" s="5"/>
      <c r="H20" s="12"/>
      <c r="I20" s="14"/>
      <c r="J20" s="4"/>
      <c r="K20" s="7"/>
    </row>
    <row r="21" spans="1:11" x14ac:dyDescent="0.3">
      <c r="A21" s="4">
        <v>15</v>
      </c>
      <c r="B21" s="4"/>
      <c r="C21" s="5"/>
      <c r="D21" s="4"/>
      <c r="E21" s="4"/>
      <c r="F21" s="4"/>
      <c r="G21" s="5"/>
      <c r="H21" s="8"/>
      <c r="I21" s="10"/>
      <c r="J21" s="4"/>
      <c r="K21" s="7"/>
    </row>
    <row r="22" spans="1:11" x14ac:dyDescent="0.3">
      <c r="A22" s="4">
        <v>16</v>
      </c>
      <c r="B22" s="4"/>
      <c r="C22" s="5"/>
      <c r="D22" s="4"/>
      <c r="E22" s="4"/>
      <c r="F22" s="4"/>
      <c r="G22" s="5"/>
      <c r="H22" s="8"/>
      <c r="I22" s="10"/>
      <c r="J22" s="4"/>
      <c r="K22" s="7"/>
    </row>
    <row r="23" spans="1:11" x14ac:dyDescent="0.3">
      <c r="A23" s="4"/>
      <c r="B23" s="4"/>
      <c r="C23" s="5"/>
      <c r="D23" s="4"/>
      <c r="E23" s="4"/>
      <c r="F23" s="4"/>
      <c r="G23" s="5"/>
      <c r="H23" s="8"/>
      <c r="I23" s="10"/>
      <c r="J23" s="4"/>
      <c r="K23" s="4"/>
    </row>
    <row r="24" spans="1:11" x14ac:dyDescent="0.3">
      <c r="C24" s="5"/>
      <c r="E24" s="4"/>
      <c r="F24" s="4"/>
      <c r="G24" s="5"/>
      <c r="H24" s="8"/>
      <c r="I24" s="10"/>
    </row>
    <row r="25" spans="1:11" x14ac:dyDescent="0.3">
      <c r="C25" s="5"/>
      <c r="E25" s="4"/>
      <c r="F25" s="4"/>
      <c r="G25" s="5"/>
      <c r="H25" s="8"/>
      <c r="I2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B-BagiDua</vt:lpstr>
      <vt:lpstr>B-RegulaFalsi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Marti</dc:creator>
  <cp:lastModifiedBy>wayan Marti</cp:lastModifiedBy>
  <dcterms:created xsi:type="dcterms:W3CDTF">2025-09-17T06:01:52Z</dcterms:created>
  <dcterms:modified xsi:type="dcterms:W3CDTF">2025-09-17T07:56:32Z</dcterms:modified>
</cp:coreProperties>
</file>