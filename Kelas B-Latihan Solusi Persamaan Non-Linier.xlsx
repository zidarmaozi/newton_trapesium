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gas-kuliah\Metode Numerik\"/>
    </mc:Choice>
  </mc:AlternateContent>
  <xr:revisionPtr revIDLastSave="0" documentId="13_ncr:1_{9E4080B9-361F-4FB1-AE62-53784F85F207}" xr6:coauthVersionLast="47" xr6:coauthVersionMax="47" xr10:uidLastSave="{00000000-0000-0000-0000-000000000000}"/>
  <bookViews>
    <workbookView xWindow="-108" yWindow="-108" windowWidth="23256" windowHeight="13896" activeTab="6" xr2:uid="{73514DCC-D7C0-456C-B215-D9A951230B4C}"/>
  </bookViews>
  <sheets>
    <sheet name="B-BagiDua" sheetId="1" r:id="rId1"/>
    <sheet name="B-RegulaFalsi" sheetId="2" r:id="rId2"/>
    <sheet name="B_literasi Sederhana" sheetId="4" r:id="rId3"/>
    <sheet name="B-Neuton Raphson" sheetId="5" r:id="rId4"/>
    <sheet name="B-Scant" sheetId="6" r:id="rId5"/>
    <sheet name="IKI-BagiDua" sheetId="3" r:id="rId6"/>
    <sheet name="Sheet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C14" i="5"/>
  <c r="D14" i="5"/>
  <c r="E14" i="5"/>
  <c r="B15" i="5"/>
  <c r="C15" i="5"/>
  <c r="D15" i="5"/>
  <c r="C16" i="5" s="1"/>
  <c r="E15" i="5"/>
  <c r="B16" i="5"/>
  <c r="C13" i="5"/>
  <c r="B13" i="5"/>
  <c r="D13" i="5"/>
  <c r="E13" i="5"/>
  <c r="G20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H20" i="4"/>
  <c r="H7" i="4"/>
  <c r="G7" i="4"/>
  <c r="B7" i="4"/>
  <c r="B8" i="4" s="1"/>
  <c r="C8" i="4" s="1"/>
  <c r="C10" i="2"/>
  <c r="K22" i="1"/>
  <c r="D22" i="1"/>
  <c r="C22" i="1" s="1"/>
  <c r="F22" i="1" s="1"/>
  <c r="B22" i="1"/>
  <c r="E22" i="1" s="1"/>
  <c r="K21" i="1"/>
  <c r="D21" i="1"/>
  <c r="G21" i="1" s="1"/>
  <c r="B21" i="1"/>
  <c r="K18" i="1"/>
  <c r="K16" i="1"/>
  <c r="K17" i="1"/>
  <c r="K19" i="1"/>
  <c r="K20" i="1"/>
  <c r="D20" i="1"/>
  <c r="G20" i="1" s="1"/>
  <c r="B20" i="1"/>
  <c r="E20" i="1" s="1"/>
  <c r="D19" i="1"/>
  <c r="B19" i="1"/>
  <c r="D18" i="1"/>
  <c r="G18" i="1" s="1"/>
  <c r="B18" i="1"/>
  <c r="C18" i="1" s="1"/>
  <c r="D17" i="1"/>
  <c r="G17" i="1" s="1"/>
  <c r="B17" i="1"/>
  <c r="K15" i="1"/>
  <c r="D16" i="1"/>
  <c r="G16" i="1" s="1"/>
  <c r="B16" i="1"/>
  <c r="D15" i="1"/>
  <c r="G15" i="1" s="1"/>
  <c r="B15" i="1"/>
  <c r="E15" i="1" s="1"/>
  <c r="C15" i="1"/>
  <c r="F15" i="1" s="1"/>
  <c r="C17" i="1"/>
  <c r="F17" i="1" s="1"/>
  <c r="C20" i="1"/>
  <c r="F20" i="1" s="1"/>
  <c r="C23" i="1"/>
  <c r="F23" i="1" s="1"/>
  <c r="C24" i="1"/>
  <c r="F24" i="1" s="1"/>
  <c r="C25" i="1"/>
  <c r="K14" i="1"/>
  <c r="B12" i="1"/>
  <c r="K11" i="1"/>
  <c r="G8" i="2"/>
  <c r="G7" i="2"/>
  <c r="E7" i="2"/>
  <c r="F25" i="1"/>
  <c r="E16" i="1"/>
  <c r="E17" i="1"/>
  <c r="E23" i="1"/>
  <c r="G23" i="1"/>
  <c r="E24" i="1"/>
  <c r="G24" i="1"/>
  <c r="E25" i="1"/>
  <c r="G25" i="1"/>
  <c r="G8" i="1"/>
  <c r="G9" i="1"/>
  <c r="G10" i="1"/>
  <c r="G11" i="1"/>
  <c r="C7" i="1"/>
  <c r="K7" i="1" s="1"/>
  <c r="G7" i="1"/>
  <c r="E7" i="1"/>
  <c r="D16" i="5" l="1"/>
  <c r="C7" i="4"/>
  <c r="B9" i="4"/>
  <c r="G22" i="1"/>
  <c r="C21" i="1"/>
  <c r="F21" i="1" s="1"/>
  <c r="E21" i="1"/>
  <c r="G19" i="1"/>
  <c r="F18" i="1"/>
  <c r="I18" i="1" s="1"/>
  <c r="E18" i="1"/>
  <c r="C16" i="1"/>
  <c r="F16" i="1" s="1"/>
  <c r="H16" i="1" s="1"/>
  <c r="C7" i="2"/>
  <c r="F7" i="2" s="1"/>
  <c r="I7" i="2" s="1"/>
  <c r="I23" i="1"/>
  <c r="H23" i="1"/>
  <c r="H17" i="1"/>
  <c r="I24" i="1"/>
  <c r="H21" i="1"/>
  <c r="I25" i="1"/>
  <c r="I22" i="1"/>
  <c r="H22" i="1"/>
  <c r="H25" i="1"/>
  <c r="B8" i="1"/>
  <c r="I21" i="1"/>
  <c r="H24" i="1"/>
  <c r="I20" i="1"/>
  <c r="I17" i="1"/>
  <c r="H20" i="1"/>
  <c r="I16" i="1"/>
  <c r="H15" i="1"/>
  <c r="I15" i="1"/>
  <c r="F7" i="1"/>
  <c r="I7" i="1" s="1"/>
  <c r="E16" i="5" l="1"/>
  <c r="B17" i="5"/>
  <c r="C17" i="5"/>
  <c r="D17" i="5"/>
  <c r="C9" i="4"/>
  <c r="B10" i="4"/>
  <c r="H18" i="1"/>
  <c r="E19" i="1"/>
  <c r="C19" i="1"/>
  <c r="F19" i="1" s="1"/>
  <c r="I19" i="1" s="1"/>
  <c r="B8" i="2"/>
  <c r="K7" i="2"/>
  <c r="H7" i="2"/>
  <c r="E8" i="1"/>
  <c r="C8" i="1"/>
  <c r="B9" i="1" s="1"/>
  <c r="H7" i="1"/>
  <c r="E17" i="5" l="1"/>
  <c r="B18" i="5"/>
  <c r="C18" i="5"/>
  <c r="D18" i="5"/>
  <c r="C10" i="4"/>
  <c r="B11" i="4"/>
  <c r="H19" i="1"/>
  <c r="E8" i="2"/>
  <c r="C8" i="2" s="1"/>
  <c r="B9" i="2" s="1"/>
  <c r="C9" i="1"/>
  <c r="B10" i="1" s="1"/>
  <c r="E9" i="1"/>
  <c r="F8" i="1"/>
  <c r="I8" i="1" s="1"/>
  <c r="K8" i="1"/>
  <c r="E18" i="5" l="1"/>
  <c r="B19" i="5"/>
  <c r="C19" i="5"/>
  <c r="D19" i="5"/>
  <c r="C11" i="4"/>
  <c r="B12" i="4"/>
  <c r="E9" i="2"/>
  <c r="G9" i="2"/>
  <c r="K8" i="2"/>
  <c r="F8" i="2"/>
  <c r="I8" i="2" s="1"/>
  <c r="E10" i="1"/>
  <c r="C10" i="1"/>
  <c r="B11" i="1" s="1"/>
  <c r="B13" i="1" s="1"/>
  <c r="B14" i="1" s="1"/>
  <c r="F9" i="1"/>
  <c r="I9" i="1" s="1"/>
  <c r="K9" i="1"/>
  <c r="H8" i="1"/>
  <c r="E19" i="5" l="1"/>
  <c r="B20" i="5"/>
  <c r="C20" i="5"/>
  <c r="D20" i="5"/>
  <c r="C12" i="4"/>
  <c r="B13" i="4"/>
  <c r="C9" i="2"/>
  <c r="B10" i="2" s="1"/>
  <c r="E10" i="2" s="1"/>
  <c r="H8" i="2"/>
  <c r="E14" i="1"/>
  <c r="E13" i="1"/>
  <c r="E12" i="1"/>
  <c r="E11" i="1"/>
  <c r="C11" i="1"/>
  <c r="F10" i="1"/>
  <c r="I10" i="1" s="1"/>
  <c r="K10" i="1"/>
  <c r="H9" i="1"/>
  <c r="B21" i="5" l="1"/>
  <c r="E20" i="5"/>
  <c r="C21" i="5"/>
  <c r="D21" i="5"/>
  <c r="C13" i="4"/>
  <c r="B14" i="4"/>
  <c r="K9" i="2"/>
  <c r="F9" i="2"/>
  <c r="I9" i="2" s="1"/>
  <c r="G10" i="2"/>
  <c r="F11" i="1"/>
  <c r="I11" i="1" s="1"/>
  <c r="H10" i="1"/>
  <c r="E21" i="5" l="1"/>
  <c r="B22" i="5"/>
  <c r="C22" i="5"/>
  <c r="D22" i="5"/>
  <c r="C14" i="4"/>
  <c r="B15" i="4"/>
  <c r="H9" i="2"/>
  <c r="K10" i="2"/>
  <c r="F10" i="2"/>
  <c r="I10" i="2" s="1"/>
  <c r="H11" i="1"/>
  <c r="G12" i="1"/>
  <c r="C12" i="1"/>
  <c r="D13" i="1" s="1"/>
  <c r="C23" i="5" l="1"/>
  <c r="D23" i="5"/>
  <c r="E22" i="5"/>
  <c r="B23" i="5"/>
  <c r="C15" i="4"/>
  <c r="B16" i="4"/>
  <c r="H10" i="2"/>
  <c r="G13" i="1"/>
  <c r="C13" i="1"/>
  <c r="D14" i="1" s="1"/>
  <c r="F12" i="1"/>
  <c r="K12" i="1"/>
  <c r="E23" i="5" l="1"/>
  <c r="B24" i="5"/>
  <c r="C24" i="5"/>
  <c r="D24" i="5"/>
  <c r="C16" i="4"/>
  <c r="B17" i="4"/>
  <c r="G14" i="1"/>
  <c r="C14" i="1"/>
  <c r="F14" i="1" s="1"/>
  <c r="F13" i="1"/>
  <c r="I13" i="1" s="1"/>
  <c r="K13" i="1"/>
  <c r="I12" i="1"/>
  <c r="H12" i="1"/>
  <c r="E24" i="5" l="1"/>
  <c r="B25" i="5"/>
  <c r="C25" i="5"/>
  <c r="D25" i="5"/>
  <c r="C17" i="4"/>
  <c r="B18" i="4"/>
  <c r="H13" i="1"/>
  <c r="I14" i="1"/>
  <c r="H14" i="1"/>
  <c r="E25" i="5" l="1"/>
  <c r="B26" i="5"/>
  <c r="C26" i="5"/>
  <c r="D26" i="5"/>
  <c r="E26" i="5" s="1"/>
  <c r="C18" i="4"/>
</calcChain>
</file>

<file path=xl/sharedStrings.xml><?xml version="1.0" encoding="utf-8"?>
<sst xmlns="http://schemas.openxmlformats.org/spreadsheetml/2006/main" count="71" uniqueCount="31">
  <si>
    <t>a</t>
  </si>
  <si>
    <t>c</t>
  </si>
  <si>
    <t>b</t>
  </si>
  <si>
    <t>No.</t>
  </si>
  <si>
    <t>f(a)</t>
  </si>
  <si>
    <t>f(b)</t>
  </si>
  <si>
    <t>f(c )</t>
  </si>
  <si>
    <t>f(a).f(c )</t>
  </si>
  <si>
    <t>f(c ).f(b)</t>
  </si>
  <si>
    <t>Besar selisih (Absolut)</t>
  </si>
  <si>
    <t>f(a)--&gt; =(2*SIN(SQRT(B7)))-B7</t>
  </si>
  <si>
    <t>|c-b|</t>
  </si>
  <si>
    <t>selang baru</t>
  </si>
  <si>
    <t>|a-c|</t>
  </si>
  <si>
    <t>galat=0,0001</t>
  </si>
  <si>
    <t>c--&gt; =D7-((G7*(D7-B7))/(G7-E7))</t>
  </si>
  <si>
    <t>Selang:  a=1 &amp; b=2</t>
  </si>
  <si>
    <t>lterasi</t>
  </si>
  <si>
    <t>x</t>
  </si>
  <si>
    <t>Galat Estimasi</t>
  </si>
  <si>
    <t>Formula 1</t>
  </si>
  <si>
    <t>Formula 2</t>
  </si>
  <si>
    <t>f(x)</t>
  </si>
  <si>
    <t>f'(x)</t>
  </si>
  <si>
    <t>X0-1</t>
  </si>
  <si>
    <t>X0-2</t>
  </si>
  <si>
    <t>f(x0-1)</t>
  </si>
  <si>
    <t>f'(x0-2)</t>
  </si>
  <si>
    <t>X</t>
  </si>
  <si>
    <t>Carilah akar persamaan dari fungsi f(x) = e-x sin(x), dengan tebakan awal yaitu x0 = 0,8.</t>
  </si>
  <si>
    <t>gunakan metode (lelaran titik tetap, Newton-Rapson) dan hentikan sampai iterasi sampai error relatif kurang dari 0,01%.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</si>
</sst>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0.000000000"/>
    <numFmt numFmtId="167" formatCode="0.000000000000"/>
    <numFmt numFmtId="168" formatCode="0.000000000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 applyAlignment="1">
      <alignment horizontal="center" wrapText="1"/>
    </xf>
    <xf numFmtId="165" fontId="1" fillId="0" borderId="1" xfId="0" applyNumberFormat="1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167" fontId="1" fillId="2" borderId="1" xfId="0" applyNumberFormat="1" applyFont="1" applyFill="1" applyBorder="1"/>
    <xf numFmtId="165" fontId="1" fillId="3" borderId="1" xfId="0" applyNumberFormat="1" applyFont="1" applyFill="1" applyBorder="1"/>
    <xf numFmtId="165" fontId="1" fillId="0" borderId="1" xfId="0" quotePrefix="1" applyNumberFormat="1" applyFont="1" applyBorder="1"/>
    <xf numFmtId="168" fontId="1" fillId="0" borderId="1" xfId="0" applyNumberFormat="1" applyFont="1" applyBorder="1"/>
    <xf numFmtId="166" fontId="1" fillId="2" borderId="1" xfId="0" applyNumberFormat="1" applyFont="1" applyFill="1" applyBorder="1"/>
    <xf numFmtId="165" fontId="1" fillId="3" borderId="1" xfId="0" quotePrefix="1" applyNumberFormat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5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4579</xdr:colOff>
      <xdr:row>0</xdr:row>
      <xdr:rowOff>0</xdr:rowOff>
    </xdr:from>
    <xdr:to>
      <xdr:col>2</xdr:col>
      <xdr:colOff>719005</xdr:colOff>
      <xdr:row>1</xdr:row>
      <xdr:rowOff>59893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5FB3F-3D90-429E-A846-03D41907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" y="0"/>
          <a:ext cx="1927843" cy="298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4579</xdr:colOff>
      <xdr:row>0</xdr:row>
      <xdr:rowOff>0</xdr:rowOff>
    </xdr:from>
    <xdr:to>
      <xdr:col>3</xdr:col>
      <xdr:colOff>55157</xdr:colOff>
      <xdr:row>1</xdr:row>
      <xdr:rowOff>59893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D5459-A608-4683-96FD-F000C0EC0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" y="0"/>
          <a:ext cx="1927293" cy="298018"/>
        </a:xfrm>
        <a:prstGeom prst="rect">
          <a:avLst/>
        </a:prstGeom>
      </xdr:spPr>
    </xdr:pic>
    <xdr:clientData/>
  </xdr:twoCellAnchor>
  <xdr:twoCellAnchor editAs="oneCell">
    <xdr:from>
      <xdr:col>3</xdr:col>
      <xdr:colOff>343448</xdr:colOff>
      <xdr:row>1</xdr:row>
      <xdr:rowOff>47364</xdr:rowOff>
    </xdr:from>
    <xdr:to>
      <xdr:col>4</xdr:col>
      <xdr:colOff>1091026</xdr:colOff>
      <xdr:row>4</xdr:row>
      <xdr:rowOff>26526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25AE51-D47D-B024-6308-2FF40912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8" y="285489"/>
          <a:ext cx="1496433" cy="693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358E-CC9F-4E9E-BA47-F6D66E402C6D}">
  <dimension ref="A2:K25"/>
  <sheetViews>
    <sheetView topLeftCell="A9" zoomScale="112" zoomScaleNormal="112" workbookViewId="0">
      <selection activeCell="D23" sqref="D23"/>
    </sheetView>
  </sheetViews>
  <sheetFormatPr defaultColWidth="9.109375" defaultRowHeight="18" x14ac:dyDescent="0.35"/>
  <cols>
    <col min="1" max="1" width="5.109375" style="1" customWidth="1"/>
    <col min="2" max="2" width="13.109375" style="1" customWidth="1"/>
    <col min="3" max="3" width="12.109375" style="1" customWidth="1"/>
    <col min="4" max="4" width="13" style="1" customWidth="1"/>
    <col min="5" max="5" width="13.5546875" style="1" customWidth="1"/>
    <col min="6" max="6" width="15.5546875" style="1" customWidth="1"/>
    <col min="7" max="7" width="16" style="1" customWidth="1"/>
    <col min="8" max="8" width="21.44140625" style="1" customWidth="1"/>
    <col min="9" max="9" width="23.33203125" style="1" customWidth="1"/>
    <col min="10" max="10" width="10.6640625" style="1" customWidth="1"/>
    <col min="11" max="11" width="18.109375" style="1" customWidth="1"/>
    <col min="12" max="16384" width="9.109375" style="1"/>
  </cols>
  <sheetData>
    <row r="2" spans="1:11" x14ac:dyDescent="0.35">
      <c r="H2" s="1" t="s">
        <v>10</v>
      </c>
    </row>
    <row r="3" spans="1:11" x14ac:dyDescent="0.35">
      <c r="A3" s="1" t="s">
        <v>16</v>
      </c>
    </row>
    <row r="4" spans="1:11" x14ac:dyDescent="0.35">
      <c r="A4" s="1" t="s">
        <v>14</v>
      </c>
    </row>
    <row r="6" spans="1:11" s="3" customFormat="1" ht="30.75" customHeight="1" x14ac:dyDescent="0.3">
      <c r="A6" s="2" t="s">
        <v>3</v>
      </c>
      <c r="B6" s="2" t="s">
        <v>0</v>
      </c>
      <c r="C6" s="2" t="s">
        <v>1</v>
      </c>
      <c r="D6" s="2" t="s">
        <v>2</v>
      </c>
      <c r="E6" s="2" t="s">
        <v>4</v>
      </c>
      <c r="F6" s="2" t="s">
        <v>6</v>
      </c>
      <c r="G6" s="2" t="s">
        <v>5</v>
      </c>
      <c r="H6" s="2" t="s">
        <v>7</v>
      </c>
      <c r="I6" s="2" t="s">
        <v>8</v>
      </c>
      <c r="J6" s="6" t="s">
        <v>12</v>
      </c>
      <c r="K6" s="6" t="s">
        <v>9</v>
      </c>
    </row>
    <row r="7" spans="1:11" x14ac:dyDescent="0.35">
      <c r="A7" s="4">
        <v>1</v>
      </c>
      <c r="B7" s="7">
        <v>1</v>
      </c>
      <c r="C7" s="7">
        <f>(B7+D7)/2</f>
        <v>1.5</v>
      </c>
      <c r="D7" s="7">
        <v>2</v>
      </c>
      <c r="E7" s="4">
        <f>(2*SIN(SQRT(B7)))-B7</f>
        <v>0.68294196961579301</v>
      </c>
      <c r="F7" s="4">
        <f t="shared" ref="F7:G7" si="0">(2*SIN(SQRT(C7)))-C7</f>
        <v>0.38143866748288824</v>
      </c>
      <c r="G7" s="5">
        <f t="shared" si="0"/>
        <v>-2.4468108014528811E-2</v>
      </c>
      <c r="H7" s="9">
        <f>E7*F7</f>
        <v>0.26050047485838723</v>
      </c>
      <c r="I7" s="10">
        <f>F7*G7</f>
        <v>-9.3330825168892479E-3</v>
      </c>
      <c r="J7" s="4" t="s">
        <v>11</v>
      </c>
      <c r="K7" s="7">
        <f>ABS(C7-D7)</f>
        <v>0.5</v>
      </c>
    </row>
    <row r="8" spans="1:11" x14ac:dyDescent="0.35">
      <c r="A8" s="4">
        <v>2</v>
      </c>
      <c r="B8" s="7">
        <f>C7</f>
        <v>1.5</v>
      </c>
      <c r="C8" s="7">
        <f t="shared" ref="C8:C25" si="1">(B8+D8)/2</f>
        <v>1.75</v>
      </c>
      <c r="D8" s="7">
        <v>2</v>
      </c>
      <c r="E8" s="4">
        <f t="shared" ref="E8:E11" si="2">(2*SIN(SQRT(B8)))-B8</f>
        <v>0.38143866748288824</v>
      </c>
      <c r="F8" s="4">
        <f t="shared" ref="F8:F11" si="3">(2*SIN(SQRT(C8)))-C8</f>
        <v>0.18884952180834746</v>
      </c>
      <c r="G8" s="5">
        <f t="shared" ref="G8:G11" si="4">(2*SIN(SQRT(D8)))-D8</f>
        <v>-2.4468108014528811E-2</v>
      </c>
      <c r="H8" s="9">
        <f t="shared" ref="H8:H11" si="5">E8*F8</f>
        <v>7.2034509953356696E-2</v>
      </c>
      <c r="I8" s="10">
        <f t="shared" ref="I8:I11" si="6">F8*G8</f>
        <v>-4.6207904980987598E-3</v>
      </c>
      <c r="J8" s="4" t="s">
        <v>11</v>
      </c>
      <c r="K8" s="7">
        <f>ABS(C8-D8)</f>
        <v>0.25</v>
      </c>
    </row>
    <row r="9" spans="1:11" x14ac:dyDescent="0.35">
      <c r="A9" s="4">
        <v>3</v>
      </c>
      <c r="B9" s="7">
        <f>C8</f>
        <v>1.75</v>
      </c>
      <c r="C9" s="7">
        <f t="shared" si="1"/>
        <v>1.875</v>
      </c>
      <c r="D9" s="7">
        <v>2</v>
      </c>
      <c r="E9" s="4">
        <f t="shared" si="2"/>
        <v>0.18884952180834746</v>
      </c>
      <c r="F9" s="4">
        <f t="shared" si="3"/>
        <v>8.4538972254905254E-2</v>
      </c>
      <c r="G9" s="5">
        <f t="shared" si="4"/>
        <v>-2.4468108014528811E-2</v>
      </c>
      <c r="H9" s="9">
        <f t="shared" si="5"/>
        <v>1.5965144484508011E-2</v>
      </c>
      <c r="I9" s="10">
        <f t="shared" si="6"/>
        <v>-2.068508704570276E-3</v>
      </c>
      <c r="J9" s="4" t="s">
        <v>11</v>
      </c>
      <c r="K9" s="7">
        <f>ABS(C9-D9)</f>
        <v>0.125</v>
      </c>
    </row>
    <row r="10" spans="1:11" x14ac:dyDescent="0.35">
      <c r="A10" s="4">
        <v>4</v>
      </c>
      <c r="B10" s="7">
        <f>C9</f>
        <v>1.875</v>
      </c>
      <c r="C10" s="7">
        <f t="shared" si="1"/>
        <v>1.9375</v>
      </c>
      <c r="D10" s="7">
        <v>2</v>
      </c>
      <c r="E10" s="4">
        <f t="shared" si="2"/>
        <v>8.4538972254905254E-2</v>
      </c>
      <c r="F10" s="4">
        <f t="shared" si="3"/>
        <v>3.0595989364925691E-2</v>
      </c>
      <c r="G10" s="5">
        <f t="shared" si="4"/>
        <v>-2.4468108014528811E-2</v>
      </c>
      <c r="H10" s="9">
        <f t="shared" si="5"/>
        <v>2.5865534960328291E-3</v>
      </c>
      <c r="I10" s="10">
        <f t="shared" si="6"/>
        <v>-7.4862597259237659E-4</v>
      </c>
      <c r="J10" s="4" t="s">
        <v>11</v>
      </c>
      <c r="K10" s="7">
        <f>ABS(C10-D10)</f>
        <v>6.25E-2</v>
      </c>
    </row>
    <row r="11" spans="1:11" x14ac:dyDescent="0.35">
      <c r="A11" s="4">
        <v>5</v>
      </c>
      <c r="B11" s="7">
        <f>C10</f>
        <v>1.9375</v>
      </c>
      <c r="C11" s="7">
        <f t="shared" si="1"/>
        <v>1.96875</v>
      </c>
      <c r="D11" s="7">
        <v>2</v>
      </c>
      <c r="E11" s="4">
        <f t="shared" si="2"/>
        <v>3.0595989364925691E-2</v>
      </c>
      <c r="F11" s="4">
        <f t="shared" si="3"/>
        <v>3.2009678358098093E-3</v>
      </c>
      <c r="G11" s="5">
        <f t="shared" si="4"/>
        <v>-2.4468108014528811E-2</v>
      </c>
      <c r="H11" s="9">
        <f t="shared" si="5"/>
        <v>9.7936777861906132E-5</v>
      </c>
      <c r="I11" s="10">
        <f t="shared" si="6"/>
        <v>-7.8321626757626943E-5</v>
      </c>
      <c r="J11" s="4" t="s">
        <v>11</v>
      </c>
      <c r="K11" s="7">
        <f>ABS(C11-D11)</f>
        <v>3.125E-2</v>
      </c>
    </row>
    <row r="12" spans="1:11" x14ac:dyDescent="0.35">
      <c r="A12" s="4">
        <v>6</v>
      </c>
      <c r="B12" s="7">
        <f>C11</f>
        <v>1.96875</v>
      </c>
      <c r="C12" s="7">
        <f t="shared" si="1"/>
        <v>1.984375</v>
      </c>
      <c r="D12" s="7">
        <v>2</v>
      </c>
      <c r="E12" s="4">
        <f t="shared" ref="E12:E25" si="7">(2*SIN(SQRT(B12)))-B12</f>
        <v>3.2009678358098093E-3</v>
      </c>
      <c r="F12" s="4">
        <f t="shared" ref="F12:F25" si="8">(2*SIN(SQRT(C12)))-C12</f>
        <v>-1.0599690711651011E-2</v>
      </c>
      <c r="G12" s="5">
        <f t="shared" ref="G12:G25" si="9">(2*SIN(SQRT(D12)))-D12</f>
        <v>-2.4468108014528811E-2</v>
      </c>
      <c r="H12" s="10">
        <f t="shared" ref="H12:H25" si="10">E12*F12</f>
        <v>-3.3929269037526876E-5</v>
      </c>
      <c r="I12" s="9">
        <f t="shared" ref="I12:I25" si="11">F12*G12</f>
        <v>2.5935437725327468E-4</v>
      </c>
      <c r="J12" s="4" t="s">
        <v>13</v>
      </c>
      <c r="K12" s="7">
        <f>ABS(B12-C12)</f>
        <v>1.5625E-2</v>
      </c>
    </row>
    <row r="13" spans="1:11" x14ac:dyDescent="0.35">
      <c r="A13" s="4">
        <v>7</v>
      </c>
      <c r="B13" s="7">
        <f>B12</f>
        <v>1.96875</v>
      </c>
      <c r="C13" s="7">
        <f t="shared" si="1"/>
        <v>1.9765625</v>
      </c>
      <c r="D13" s="7">
        <f>C12</f>
        <v>1.984375</v>
      </c>
      <c r="E13" s="4">
        <f t="shared" si="7"/>
        <v>3.2009678358098093E-3</v>
      </c>
      <c r="F13" s="4">
        <f t="shared" si="8"/>
        <v>-3.6908449175938607E-3</v>
      </c>
      <c r="G13" s="5">
        <f t="shared" si="9"/>
        <v>-1.0599690711651011E-2</v>
      </c>
      <c r="H13" s="10">
        <f t="shared" si="10"/>
        <v>-1.1814275868180054E-5</v>
      </c>
      <c r="I13" s="9">
        <f t="shared" si="11"/>
        <v>3.9121814591163986E-5</v>
      </c>
      <c r="J13" s="4" t="s">
        <v>13</v>
      </c>
      <c r="K13" s="7">
        <f>ABS(B13-C13)</f>
        <v>7.8125E-3</v>
      </c>
    </row>
    <row r="14" spans="1:11" x14ac:dyDescent="0.35">
      <c r="A14" s="4">
        <v>8</v>
      </c>
      <c r="B14" s="7">
        <f>B13</f>
        <v>1.96875</v>
      </c>
      <c r="C14" s="7">
        <f t="shared" si="1"/>
        <v>1.97265625</v>
      </c>
      <c r="D14" s="7">
        <f>C13</f>
        <v>1.9765625</v>
      </c>
      <c r="E14" s="4">
        <f t="shared" si="7"/>
        <v>3.2009678358098093E-3</v>
      </c>
      <c r="F14" s="4">
        <f t="shared" si="8"/>
        <v>-2.428035330261924E-4</v>
      </c>
      <c r="G14" s="5">
        <f t="shared" si="9"/>
        <v>-3.6908449175938607E-3</v>
      </c>
      <c r="H14" s="10">
        <f t="shared" si="10"/>
        <v>-7.7720629963782664E-7</v>
      </c>
      <c r="I14" s="9">
        <f t="shared" si="11"/>
        <v>8.9615018584355527E-7</v>
      </c>
      <c r="J14" s="4" t="s">
        <v>13</v>
      </c>
      <c r="K14" s="7">
        <f>ABS(B14-C14)</f>
        <v>3.90625E-3</v>
      </c>
    </row>
    <row r="15" spans="1:11" x14ac:dyDescent="0.35">
      <c r="A15" s="4">
        <v>9</v>
      </c>
      <c r="B15" s="7">
        <f>B14</f>
        <v>1.96875</v>
      </c>
      <c r="C15" s="7">
        <f t="shared" si="1"/>
        <v>1.970703125</v>
      </c>
      <c r="D15" s="7">
        <f>C14</f>
        <v>1.97265625</v>
      </c>
      <c r="E15" s="4">
        <f t="shared" si="7"/>
        <v>3.2009678358098093E-3</v>
      </c>
      <c r="F15" s="4">
        <f t="shared" si="8"/>
        <v>1.4796166408137523E-3</v>
      </c>
      <c r="G15" s="5">
        <f t="shared" si="9"/>
        <v>-2.428035330261924E-4</v>
      </c>
      <c r="H15" s="9">
        <f t="shared" si="10"/>
        <v>4.7362052765737765E-6</v>
      </c>
      <c r="I15" s="10">
        <f t="shared" si="11"/>
        <v>-3.5925614791392579E-7</v>
      </c>
      <c r="J15" s="4" t="s">
        <v>11</v>
      </c>
      <c r="K15" s="7">
        <f>ABS(C15-D15)</f>
        <v>1.953125E-3</v>
      </c>
    </row>
    <row r="16" spans="1:11" x14ac:dyDescent="0.35">
      <c r="A16" s="4">
        <v>10</v>
      </c>
      <c r="B16" s="7">
        <f>C15</f>
        <v>1.970703125</v>
      </c>
      <c r="C16" s="7">
        <f t="shared" si="1"/>
        <v>1.9716796875</v>
      </c>
      <c r="D16" s="7">
        <f>D15</f>
        <v>1.97265625</v>
      </c>
      <c r="E16" s="4">
        <f t="shared" si="7"/>
        <v>1.4796166408137523E-3</v>
      </c>
      <c r="F16" s="4">
        <f t="shared" si="8"/>
        <v>6.1854008394490734E-4</v>
      </c>
      <c r="G16" s="5">
        <f t="shared" si="9"/>
        <v>-2.428035330261924E-4</v>
      </c>
      <c r="H16" s="9">
        <f t="shared" si="10"/>
        <v>9.1520220121522015E-7</v>
      </c>
      <c r="I16" s="10">
        <f t="shared" si="11"/>
        <v>-1.5018371770014112E-7</v>
      </c>
      <c r="J16" s="4" t="s">
        <v>11</v>
      </c>
      <c r="K16" s="7">
        <f t="shared" ref="K16:K20" si="12">ABS(C16-D16)</f>
        <v>9.765625E-4</v>
      </c>
    </row>
    <row r="17" spans="1:11" x14ac:dyDescent="0.35">
      <c r="A17" s="4">
        <v>11</v>
      </c>
      <c r="B17" s="7">
        <f>C16</f>
        <v>1.9716796875</v>
      </c>
      <c r="C17" s="7">
        <f t="shared" si="1"/>
        <v>1.97216796875</v>
      </c>
      <c r="D17" s="7">
        <f>D16</f>
        <v>1.97265625</v>
      </c>
      <c r="E17" s="4">
        <f t="shared" si="7"/>
        <v>6.1854008394490734E-4</v>
      </c>
      <c r="F17" s="4">
        <f t="shared" si="8"/>
        <v>1.8790164644477692E-4</v>
      </c>
      <c r="G17" s="5">
        <f t="shared" si="9"/>
        <v>-2.428035330261924E-4</v>
      </c>
      <c r="H17" s="9">
        <f t="shared" si="10"/>
        <v>1.1622470016533861E-7</v>
      </c>
      <c r="I17" s="10">
        <f t="shared" si="11"/>
        <v>-4.5623183618230316E-8</v>
      </c>
      <c r="J17" s="4" t="s">
        <v>11</v>
      </c>
      <c r="K17" s="7">
        <f t="shared" si="12"/>
        <v>4.8828125E-4</v>
      </c>
    </row>
    <row r="18" spans="1:11" x14ac:dyDescent="0.35">
      <c r="A18" s="4">
        <v>12</v>
      </c>
      <c r="B18" s="7">
        <f t="shared" ref="B18" si="13">C17</f>
        <v>1.97216796875</v>
      </c>
      <c r="C18" s="7">
        <f t="shared" si="1"/>
        <v>1.972412109375</v>
      </c>
      <c r="D18" s="7">
        <f t="shared" ref="D18" si="14">D17</f>
        <v>1.97265625</v>
      </c>
      <c r="E18" s="4">
        <f t="shared" si="7"/>
        <v>1.8790164644477692E-4</v>
      </c>
      <c r="F18" s="4">
        <f t="shared" si="8"/>
        <v>-2.7442601984395409E-5</v>
      </c>
      <c r="G18" s="5">
        <f t="shared" si="9"/>
        <v>-2.428035330261924E-4</v>
      </c>
      <c r="H18" s="10">
        <f t="shared" si="10"/>
        <v>-5.1565100955965996E-9</v>
      </c>
      <c r="I18" s="9">
        <f t="shared" si="11"/>
        <v>6.6631607172428038E-9</v>
      </c>
      <c r="J18" s="4" t="s">
        <v>13</v>
      </c>
      <c r="K18" s="7">
        <f>ABS(B18-C18)</f>
        <v>2.44140625E-4</v>
      </c>
    </row>
    <row r="19" spans="1:11" x14ac:dyDescent="0.35">
      <c r="A19" s="4">
        <v>13</v>
      </c>
      <c r="B19" s="7">
        <f>B18</f>
        <v>1.97216796875</v>
      </c>
      <c r="C19" s="7">
        <f t="shared" si="1"/>
        <v>1.9722900390625</v>
      </c>
      <c r="D19" s="7">
        <f>C18</f>
        <v>1.972412109375</v>
      </c>
      <c r="E19" s="4">
        <f t="shared" si="7"/>
        <v>1.8790164644477692E-4</v>
      </c>
      <c r="F19" s="4">
        <f t="shared" si="8"/>
        <v>8.0231607736624966E-5</v>
      </c>
      <c r="G19" s="5">
        <f t="shared" si="9"/>
        <v>-2.7442601984395409E-5</v>
      </c>
      <c r="H19" s="9">
        <f t="shared" si="10"/>
        <v>1.5075651190623332E-8</v>
      </c>
      <c r="I19" s="10">
        <f t="shared" si="11"/>
        <v>-2.2017640776843385E-9</v>
      </c>
      <c r="J19" s="4" t="s">
        <v>11</v>
      </c>
      <c r="K19" s="7">
        <f t="shared" si="12"/>
        <v>1.220703125E-4</v>
      </c>
    </row>
    <row r="20" spans="1:11" x14ac:dyDescent="0.35">
      <c r="A20" s="4">
        <v>14</v>
      </c>
      <c r="B20" s="7">
        <f>C19</f>
        <v>1.9722900390625</v>
      </c>
      <c r="C20" s="11">
        <f t="shared" si="1"/>
        <v>1.97235107421875</v>
      </c>
      <c r="D20" s="7">
        <f>D19</f>
        <v>1.972412109375</v>
      </c>
      <c r="E20" s="4">
        <f t="shared" si="7"/>
        <v>8.0231607736624966E-5</v>
      </c>
      <c r="F20" s="4">
        <f t="shared" si="8"/>
        <v>2.6395024230296826E-5</v>
      </c>
      <c r="G20" s="5">
        <f t="shared" si="9"/>
        <v>-2.7442601984395409E-5</v>
      </c>
      <c r="H20" s="9">
        <f t="shared" si="10"/>
        <v>2.1177152302438864E-9</v>
      </c>
      <c r="I20" s="10">
        <f t="shared" si="11"/>
        <v>-7.2434814432050855E-10</v>
      </c>
      <c r="J20" s="4" t="s">
        <v>11</v>
      </c>
      <c r="K20" s="7">
        <f t="shared" si="12"/>
        <v>6.103515625E-5</v>
      </c>
    </row>
    <row r="21" spans="1:11" x14ac:dyDescent="0.35">
      <c r="A21" s="4">
        <v>15</v>
      </c>
      <c r="B21" s="7">
        <f>C20</f>
        <v>1.97235107421875</v>
      </c>
      <c r="C21" s="7">
        <f t="shared" si="1"/>
        <v>1.972381591796875</v>
      </c>
      <c r="D21" s="7">
        <f>D20</f>
        <v>1.972412109375</v>
      </c>
      <c r="E21" s="4">
        <f t="shared" si="7"/>
        <v>2.6395024230296826E-5</v>
      </c>
      <c r="F21" s="4">
        <f t="shared" si="8"/>
        <v>-5.2365854141811496E-7</v>
      </c>
      <c r="G21" s="5">
        <f t="shared" si="9"/>
        <v>-2.7442601984395409E-5</v>
      </c>
      <c r="H21" s="10">
        <f t="shared" si="10"/>
        <v>-1.3821979889133039E-11</v>
      </c>
      <c r="I21" s="9">
        <f t="shared" si="11"/>
        <v>1.4370552927866368E-11</v>
      </c>
      <c r="J21" s="4" t="s">
        <v>13</v>
      </c>
      <c r="K21" s="7">
        <f>ABS(B21-C21)</f>
        <v>3.0517578125E-5</v>
      </c>
    </row>
    <row r="22" spans="1:11" x14ac:dyDescent="0.35">
      <c r="A22" s="4">
        <v>16</v>
      </c>
      <c r="B22" s="7">
        <f>B21</f>
        <v>1.97235107421875</v>
      </c>
      <c r="C22" s="7">
        <f t="shared" si="1"/>
        <v>1.9723663330078125</v>
      </c>
      <c r="D22" s="7">
        <f>C21</f>
        <v>1.972381591796875</v>
      </c>
      <c r="E22" s="4">
        <f t="shared" si="7"/>
        <v>2.6395024230296826E-5</v>
      </c>
      <c r="F22" s="4">
        <f t="shared" si="8"/>
        <v>1.293571542859695E-5</v>
      </c>
      <c r="G22" s="5">
        <f t="shared" si="9"/>
        <v>-5.2365854141811496E-7</v>
      </c>
      <c r="H22" s="9">
        <f t="shared" si="10"/>
        <v>3.41438522174041E-10</v>
      </c>
      <c r="I22" s="10">
        <f t="shared" si="11"/>
        <v>-6.7738978735388848E-12</v>
      </c>
      <c r="J22" s="4" t="s">
        <v>11</v>
      </c>
      <c r="K22" s="7">
        <f t="shared" ref="K22" si="15">ABS(C22-D22)</f>
        <v>1.52587890625E-5</v>
      </c>
    </row>
    <row r="23" spans="1:11" x14ac:dyDescent="0.35">
      <c r="A23" s="4"/>
      <c r="B23" s="4"/>
      <c r="C23" s="5">
        <f t="shared" si="1"/>
        <v>0</v>
      </c>
      <c r="D23" s="4"/>
      <c r="E23" s="4">
        <f t="shared" si="7"/>
        <v>0</v>
      </c>
      <c r="F23" s="4">
        <f t="shared" si="8"/>
        <v>0</v>
      </c>
      <c r="G23" s="5">
        <f t="shared" si="9"/>
        <v>0</v>
      </c>
      <c r="H23" s="8">
        <f t="shared" si="10"/>
        <v>0</v>
      </c>
      <c r="I23" s="8">
        <f t="shared" si="11"/>
        <v>0</v>
      </c>
      <c r="J23" s="4"/>
      <c r="K23" s="4"/>
    </row>
    <row r="24" spans="1:11" x14ac:dyDescent="0.35">
      <c r="C24" s="5">
        <f t="shared" si="1"/>
        <v>0</v>
      </c>
      <c r="E24" s="4">
        <f t="shared" si="7"/>
        <v>0</v>
      </c>
      <c r="F24" s="4">
        <f t="shared" si="8"/>
        <v>0</v>
      </c>
      <c r="G24" s="5">
        <f t="shared" si="9"/>
        <v>0</v>
      </c>
      <c r="H24" s="8">
        <f t="shared" si="10"/>
        <v>0</v>
      </c>
      <c r="I24" s="8">
        <f t="shared" si="11"/>
        <v>0</v>
      </c>
    </row>
    <row r="25" spans="1:11" x14ac:dyDescent="0.35">
      <c r="C25" s="5">
        <f t="shared" si="1"/>
        <v>0</v>
      </c>
      <c r="E25" s="4">
        <f t="shared" si="7"/>
        <v>0</v>
      </c>
      <c r="F25" s="4">
        <f t="shared" si="8"/>
        <v>0</v>
      </c>
      <c r="G25" s="5">
        <f t="shared" si="9"/>
        <v>0</v>
      </c>
      <c r="H25" s="8">
        <f t="shared" si="10"/>
        <v>0</v>
      </c>
      <c r="I25" s="8">
        <f t="shared" si="11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D0AE-C612-4528-8660-74852E1C2711}">
  <dimension ref="A2:K15"/>
  <sheetViews>
    <sheetView zoomScale="136" zoomScaleNormal="136" workbookViewId="0">
      <selection activeCell="H18" sqref="H18"/>
    </sheetView>
  </sheetViews>
  <sheetFormatPr defaultColWidth="9.109375" defaultRowHeight="18" x14ac:dyDescent="0.35"/>
  <cols>
    <col min="1" max="1" width="5.109375" style="1" customWidth="1"/>
    <col min="2" max="2" width="11.33203125" style="1" customWidth="1"/>
    <col min="3" max="3" width="11.6640625" style="1" customWidth="1"/>
    <col min="4" max="4" width="11.33203125" style="1" customWidth="1"/>
    <col min="5" max="5" width="21.44140625" style="1" customWidth="1"/>
    <col min="6" max="6" width="20.33203125" style="1" customWidth="1"/>
    <col min="7" max="7" width="22.5546875" style="1" customWidth="1"/>
    <col min="8" max="8" width="18.5546875" style="1" customWidth="1"/>
    <col min="9" max="9" width="19.6640625" style="1" customWidth="1"/>
    <col min="10" max="10" width="10.6640625" style="1" customWidth="1"/>
    <col min="11" max="11" width="11.33203125" style="1" customWidth="1"/>
    <col min="12" max="16384" width="9.109375" style="1"/>
  </cols>
  <sheetData>
    <row r="2" spans="1:11" x14ac:dyDescent="0.35">
      <c r="H2" s="1" t="s">
        <v>10</v>
      </c>
    </row>
    <row r="3" spans="1:11" x14ac:dyDescent="0.35">
      <c r="A3" s="1" t="s">
        <v>16</v>
      </c>
      <c r="H3" s="1" t="s">
        <v>15</v>
      </c>
    </row>
    <row r="4" spans="1:11" x14ac:dyDescent="0.35">
      <c r="A4" s="1" t="s">
        <v>14</v>
      </c>
    </row>
    <row r="6" spans="1:11" s="3" customFormat="1" ht="30.75" customHeight="1" x14ac:dyDescent="0.3">
      <c r="A6" s="2" t="s">
        <v>3</v>
      </c>
      <c r="B6" s="2" t="s">
        <v>0</v>
      </c>
      <c r="C6" s="2" t="s">
        <v>1</v>
      </c>
      <c r="D6" s="2" t="s">
        <v>2</v>
      </c>
      <c r="E6" s="2" t="s">
        <v>4</v>
      </c>
      <c r="F6" s="2" t="s">
        <v>6</v>
      </c>
      <c r="G6" s="2" t="s">
        <v>5</v>
      </c>
      <c r="H6" s="2" t="s">
        <v>7</v>
      </c>
      <c r="I6" s="2" t="s">
        <v>8</v>
      </c>
      <c r="J6" s="6" t="s">
        <v>12</v>
      </c>
      <c r="K6" s="6" t="s">
        <v>9</v>
      </c>
    </row>
    <row r="7" spans="1:11" x14ac:dyDescent="0.35">
      <c r="A7" s="4">
        <v>1</v>
      </c>
      <c r="B7" s="7">
        <v>1</v>
      </c>
      <c r="C7" s="12">
        <f>D7-((G7*(D7-B7))/(G7-E7))</f>
        <v>1.9654117056170701</v>
      </c>
      <c r="D7" s="7">
        <v>2</v>
      </c>
      <c r="E7" s="13">
        <f>(2*SIN(SQRT(B7)))-B7</f>
        <v>0.68294196961579301</v>
      </c>
      <c r="F7" s="13">
        <f t="shared" ref="F7:G10" si="0">(2*SIN(SQRT(C7)))-C7</f>
        <v>6.140633634094117E-3</v>
      </c>
      <c r="G7" s="13">
        <f t="shared" si="0"/>
        <v>-2.4468108014528811E-2</v>
      </c>
      <c r="H7" s="8">
        <f>E7*F7</f>
        <v>4.1936964287572209E-3</v>
      </c>
      <c r="I7" s="14">
        <f>F7*G7</f>
        <v>-1.5024968703666343E-4</v>
      </c>
      <c r="J7" s="4" t="s">
        <v>11</v>
      </c>
      <c r="K7" s="7">
        <f>ABS(C7-D7)</f>
        <v>3.4588294382929874E-2</v>
      </c>
    </row>
    <row r="8" spans="1:11" x14ac:dyDescent="0.35">
      <c r="A8" s="4">
        <v>2</v>
      </c>
      <c r="B8" s="7">
        <f>C7</f>
        <v>1.9654117056170701</v>
      </c>
      <c r="C8" s="12">
        <f t="shared" ref="C8:C10" si="1">D8-((G8*(D8-B8))/(G8-E8))</f>
        <v>1.9723507051444591</v>
      </c>
      <c r="D8" s="7">
        <v>2</v>
      </c>
      <c r="E8" s="13">
        <f t="shared" ref="E8:E10" si="2">(2*SIN(SQRT(B8)))-B8</f>
        <v>6.140633634094117E-3</v>
      </c>
      <c r="F8" s="13">
        <f t="shared" si="0"/>
        <v>2.6720572510186003E-5</v>
      </c>
      <c r="G8" s="13">
        <f t="shared" si="0"/>
        <v>-2.4468108014528811E-2</v>
      </c>
      <c r="H8" s="8">
        <f t="shared" ref="H8:I10" si="3">E8*F8</f>
        <v>1.6408124627829883E-7</v>
      </c>
      <c r="I8" s="14">
        <f t="shared" si="3"/>
        <v>-6.538018543892804E-7</v>
      </c>
      <c r="J8" s="4" t="s">
        <v>11</v>
      </c>
      <c r="K8" s="7">
        <f>ABS(C8-D8)</f>
        <v>2.7649294855540907E-2</v>
      </c>
    </row>
    <row r="9" spans="1:11" x14ac:dyDescent="0.35">
      <c r="A9" s="4">
        <v>3</v>
      </c>
      <c r="B9" s="7">
        <f>C8</f>
        <v>1.9723507051444591</v>
      </c>
      <c r="C9" s="12">
        <f t="shared" si="1"/>
        <v>1.9723808668165614</v>
      </c>
      <c r="D9" s="7">
        <v>2</v>
      </c>
      <c r="E9" s="13">
        <f t="shared" si="2"/>
        <v>2.6720572510186003E-5</v>
      </c>
      <c r="F9" s="13">
        <f t="shared" si="0"/>
        <v>1.158288793767781E-7</v>
      </c>
      <c r="G9" s="13">
        <f t="shared" si="0"/>
        <v>-2.4468108014528811E-2</v>
      </c>
      <c r="H9" s="8">
        <f t="shared" si="3"/>
        <v>3.0950139701607875E-12</v>
      </c>
      <c r="I9" s="14">
        <f t="shared" si="3"/>
        <v>-2.8341135317928355E-9</v>
      </c>
      <c r="J9" s="4" t="s">
        <v>11</v>
      </c>
      <c r="K9" s="7">
        <f>ABS(C9-D9)</f>
        <v>2.761913318343856E-2</v>
      </c>
    </row>
    <row r="10" spans="1:11" x14ac:dyDescent="0.35">
      <c r="A10" s="4">
        <v>4</v>
      </c>
      <c r="B10" s="7">
        <f>C9</f>
        <v>1.9723808668165614</v>
      </c>
      <c r="C10" s="15">
        <f t="shared" si="1"/>
        <v>1.9723809975613702</v>
      </c>
      <c r="D10" s="7">
        <v>2</v>
      </c>
      <c r="E10" s="13">
        <f t="shared" si="2"/>
        <v>1.158288793767781E-7</v>
      </c>
      <c r="F10" s="13">
        <f t="shared" si="0"/>
        <v>5.0208903701332019E-10</v>
      </c>
      <c r="G10" s="13">
        <f t="shared" si="0"/>
        <v>-2.4468108014528811E-2</v>
      </c>
      <c r="H10" s="8">
        <f t="shared" si="3"/>
        <v>5.8156410504618542E-17</v>
      </c>
      <c r="I10" s="14">
        <f t="shared" si="3"/>
        <v>-1.2285168790552673E-11</v>
      </c>
      <c r="J10" s="4" t="s">
        <v>11</v>
      </c>
      <c r="K10" s="7">
        <f>ABS(C10-D10)</f>
        <v>2.7619002438629803E-2</v>
      </c>
    </row>
    <row r="11" spans="1:11" x14ac:dyDescent="0.35">
      <c r="A11" s="4"/>
      <c r="B11" s="4"/>
      <c r="C11" s="5"/>
      <c r="D11" s="4"/>
      <c r="E11" s="4"/>
      <c r="F11" s="4"/>
      <c r="G11" s="5"/>
      <c r="H11" s="8"/>
      <c r="I11" s="8"/>
      <c r="J11" s="4"/>
      <c r="K11" s="7"/>
    </row>
    <row r="12" spans="1:11" x14ac:dyDescent="0.35">
      <c r="A12" s="4"/>
      <c r="B12" s="4"/>
      <c r="C12" s="5"/>
      <c r="D12" s="4"/>
      <c r="E12" s="4"/>
      <c r="F12" s="4"/>
      <c r="G12" s="5"/>
      <c r="H12" s="8"/>
      <c r="I12" s="8"/>
      <c r="J12" s="4"/>
      <c r="K12" s="7"/>
    </row>
    <row r="13" spans="1:11" x14ac:dyDescent="0.35">
      <c r="A13" s="4"/>
      <c r="B13" s="4"/>
      <c r="C13" s="5"/>
      <c r="D13" s="4"/>
      <c r="E13" s="4"/>
      <c r="F13" s="4"/>
      <c r="G13" s="5"/>
      <c r="H13" s="8"/>
      <c r="I13" s="8"/>
      <c r="J13" s="4"/>
      <c r="K13" s="4"/>
    </row>
    <row r="14" spans="1:11" x14ac:dyDescent="0.35">
      <c r="C14" s="5"/>
      <c r="E14" s="4"/>
      <c r="F14" s="4"/>
      <c r="G14" s="5"/>
      <c r="H14" s="8"/>
      <c r="I14" s="8"/>
    </row>
    <row r="15" spans="1:11" x14ac:dyDescent="0.35">
      <c r="C15" s="5"/>
      <c r="E15" s="4"/>
      <c r="F15" s="4"/>
      <c r="G15" s="5"/>
      <c r="H15" s="8"/>
      <c r="I1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C3EF-6CC0-4860-B80A-4E92E4BC4C15}">
  <dimension ref="A3:H20"/>
  <sheetViews>
    <sheetView zoomScale="102" workbookViewId="0">
      <selection activeCell="A5" sqref="A5:C7"/>
    </sheetView>
  </sheetViews>
  <sheetFormatPr defaultRowHeight="14.4" x14ac:dyDescent="0.3"/>
  <cols>
    <col min="1" max="1" width="10.109375" customWidth="1"/>
    <col min="2" max="2" width="17.88671875" customWidth="1"/>
    <col min="3" max="3" width="19.5546875" customWidth="1"/>
    <col min="6" max="6" width="13.5546875" customWidth="1"/>
    <col min="7" max="7" width="14.33203125" customWidth="1"/>
    <col min="8" max="8" width="20" customWidth="1"/>
  </cols>
  <sheetData>
    <row r="3" spans="1:8" x14ac:dyDescent="0.3">
      <c r="A3" t="s">
        <v>20</v>
      </c>
      <c r="F3" t="s">
        <v>21</v>
      </c>
    </row>
    <row r="5" spans="1:8" x14ac:dyDescent="0.3">
      <c r="A5" s="16" t="s">
        <v>17</v>
      </c>
      <c r="B5" s="16" t="s">
        <v>18</v>
      </c>
      <c r="C5" s="16" t="s">
        <v>19</v>
      </c>
      <c r="F5" s="16" t="s">
        <v>17</v>
      </c>
      <c r="G5" s="16" t="s">
        <v>18</v>
      </c>
      <c r="H5" s="16" t="s">
        <v>19</v>
      </c>
    </row>
    <row r="6" spans="1:8" x14ac:dyDescent="0.3">
      <c r="A6" s="17">
        <v>0</v>
      </c>
      <c r="B6" s="17">
        <v>5</v>
      </c>
      <c r="C6" s="17"/>
      <c r="F6" s="17">
        <v>0</v>
      </c>
      <c r="G6" s="17">
        <v>5</v>
      </c>
      <c r="H6" s="17"/>
    </row>
    <row r="7" spans="1:8" x14ac:dyDescent="0.3">
      <c r="A7" s="17">
        <v>1</v>
      </c>
      <c r="B7" s="18">
        <f>POWER((1.8*B6)+2.5,1/2)</f>
        <v>3.3911649915626341</v>
      </c>
      <c r="C7" s="18">
        <f>ABS(B7-B6)</f>
        <v>1.6088350084373659</v>
      </c>
      <c r="F7" s="17">
        <v>1</v>
      </c>
      <c r="G7" s="18">
        <f>-2.5/(1.8-G6)</f>
        <v>0.78125</v>
      </c>
      <c r="H7" s="18">
        <f>ABS(G7-G6)</f>
        <v>4.21875</v>
      </c>
    </row>
    <row r="8" spans="1:8" x14ac:dyDescent="0.3">
      <c r="A8" s="17">
        <v>2</v>
      </c>
      <c r="B8" s="18">
        <f>POWER((1.8*B7)+2.5,1/2)</f>
        <v>2.9332741066618273</v>
      </c>
      <c r="C8" s="18">
        <f>ABS(B8-B7)</f>
        <v>0.45789088490080676</v>
      </c>
      <c r="F8" s="17">
        <v>2</v>
      </c>
      <c r="G8" s="18">
        <f t="shared" ref="G8:G20" si="0">-2.5/(1.8-G7)</f>
        <v>-2.4539877300613497</v>
      </c>
      <c r="H8" s="18">
        <f t="shared" ref="H8:H20" si="1">ABS(G8-G7)</f>
        <v>3.2352377300613497</v>
      </c>
    </row>
    <row r="9" spans="1:8" x14ac:dyDescent="0.3">
      <c r="A9" s="17">
        <v>3</v>
      </c>
      <c r="B9" s="18">
        <f>POWER((1.8*B8)+2.5,1/2)</f>
        <v>2.7892460257193679</v>
      </c>
      <c r="C9" s="18">
        <f>ABS(B9-B8)</f>
        <v>0.14402808094245945</v>
      </c>
      <c r="F9" s="17">
        <v>3</v>
      </c>
      <c r="G9" s="18">
        <f t="shared" si="0"/>
        <v>-0.58768387655033172</v>
      </c>
      <c r="H9" s="18">
        <f t="shared" si="1"/>
        <v>1.8663038535110181</v>
      </c>
    </row>
    <row r="10" spans="1:8" x14ac:dyDescent="0.3">
      <c r="A10" s="17">
        <v>4</v>
      </c>
      <c r="B10" s="18">
        <f>POWER((1.8*B9)+2.5,1/2)</f>
        <v>2.7423790486172517</v>
      </c>
      <c r="C10" s="18">
        <f>ABS(B10-B9)</f>
        <v>4.6866977102116181E-2</v>
      </c>
      <c r="F10" s="17">
        <v>4</v>
      </c>
      <c r="G10" s="18">
        <f t="shared" si="0"/>
        <v>-1.0470397796595836</v>
      </c>
      <c r="H10" s="18">
        <f t="shared" si="1"/>
        <v>0.4593559031092519</v>
      </c>
    </row>
    <row r="11" spans="1:8" x14ac:dyDescent="0.3">
      <c r="A11" s="17">
        <v>5</v>
      </c>
      <c r="B11" s="18">
        <f>POWER((1.8*B10)+2.5,1/2)</f>
        <v>2.7269547644783279</v>
      </c>
      <c r="C11" s="18">
        <f>ABS(B11-B10)</f>
        <v>1.5424284138923827E-2</v>
      </c>
      <c r="F11" s="17">
        <v>5</v>
      </c>
      <c r="G11" s="18">
        <f t="shared" si="0"/>
        <v>-0.87810504716548821</v>
      </c>
      <c r="H11" s="18">
        <f t="shared" si="1"/>
        <v>0.16893473249409541</v>
      </c>
    </row>
    <row r="12" spans="1:8" x14ac:dyDescent="0.3">
      <c r="A12" s="17">
        <v>6</v>
      </c>
      <c r="B12" s="18">
        <f>POWER((1.8*B11)+2.5,1/2)</f>
        <v>2.7218593968206717</v>
      </c>
      <c r="C12" s="18">
        <f>ABS(B12-B11)</f>
        <v>5.0953676576561691E-3</v>
      </c>
      <c r="F12" s="17">
        <v>6</v>
      </c>
      <c r="G12" s="18">
        <f t="shared" si="0"/>
        <v>-0.93349586964335285</v>
      </c>
      <c r="H12" s="18">
        <f t="shared" si="1"/>
        <v>5.5390822477864643E-2</v>
      </c>
    </row>
    <row r="13" spans="1:8" x14ac:dyDescent="0.3">
      <c r="A13" s="17">
        <v>7</v>
      </c>
      <c r="B13" s="18">
        <f>POWER((1.8*B12)+2.5,1/2)</f>
        <v>2.7201740595552355</v>
      </c>
      <c r="C13" s="18">
        <f>ABS(B13-B12)</f>
        <v>1.685337265436182E-3</v>
      </c>
      <c r="F13" s="17">
        <v>7</v>
      </c>
      <c r="G13" s="18">
        <f t="shared" si="0"/>
        <v>-0.91457976130989438</v>
      </c>
      <c r="H13" s="18">
        <f t="shared" si="1"/>
        <v>1.891610833345847E-2</v>
      </c>
    </row>
    <row r="14" spans="1:8" x14ac:dyDescent="0.3">
      <c r="A14" s="17">
        <v>8</v>
      </c>
      <c r="B14" s="18">
        <f>POWER((1.8*B13)+2.5,1/2)</f>
        <v>2.7196163897137082</v>
      </c>
      <c r="C14" s="18">
        <f>ABS(B14-B13)</f>
        <v>5.5766984152727517E-4</v>
      </c>
      <c r="F14" s="17">
        <v>8</v>
      </c>
      <c r="G14" s="18">
        <f t="shared" si="0"/>
        <v>-0.92095286188741388</v>
      </c>
      <c r="H14" s="18">
        <f t="shared" si="1"/>
        <v>6.3731005775194971E-3</v>
      </c>
    </row>
    <row r="15" spans="1:8" x14ac:dyDescent="0.3">
      <c r="A15" s="17">
        <v>9</v>
      </c>
      <c r="B15" s="18">
        <f>POWER((1.8*B14)+2.5,1/2)</f>
        <v>2.719431834314785</v>
      </c>
      <c r="C15" s="18">
        <f>ABS(B15-B14)</f>
        <v>1.8455539892325845E-4</v>
      </c>
      <c r="F15" s="17">
        <v>9</v>
      </c>
      <c r="G15" s="18">
        <f t="shared" si="0"/>
        <v>-0.9187957773975739</v>
      </c>
      <c r="H15" s="18">
        <f t="shared" si="1"/>
        <v>2.1570844898399777E-3</v>
      </c>
    </row>
    <row r="16" spans="1:8" x14ac:dyDescent="0.3">
      <c r="A16" s="17">
        <v>10</v>
      </c>
      <c r="B16" s="18">
        <f>POWER((1.8*B15)+2.5,1/2)</f>
        <v>2.7193707547457762</v>
      </c>
      <c r="C16" s="18">
        <f>ABS(B16-B15)</f>
        <v>6.1079569008803958E-5</v>
      </c>
      <c r="F16" s="17">
        <v>10</v>
      </c>
      <c r="G16" s="18">
        <f t="shared" si="0"/>
        <v>-0.91952474723680611</v>
      </c>
      <c r="H16" s="18">
        <f t="shared" si="1"/>
        <v>7.2896983923220748E-4</v>
      </c>
    </row>
    <row r="17" spans="1:8" x14ac:dyDescent="0.3">
      <c r="A17" s="17">
        <v>11</v>
      </c>
      <c r="B17" s="18">
        <f>POWER((1.8*B16)+2.5,1/2)</f>
        <v>2.7193505398426288</v>
      </c>
      <c r="C17" s="18">
        <f>ABS(B17-B16)</f>
        <v>2.0214903147408592E-5</v>
      </c>
      <c r="F17" s="17">
        <v>11</v>
      </c>
      <c r="G17" s="18">
        <f t="shared" si="0"/>
        <v>-0.91927826821217351</v>
      </c>
      <c r="H17" s="18">
        <f t="shared" si="1"/>
        <v>2.4647902463259541E-4</v>
      </c>
    </row>
    <row r="18" spans="1:8" x14ac:dyDescent="0.3">
      <c r="A18" s="17">
        <v>12</v>
      </c>
      <c r="B18" s="19">
        <f>POWER((1.8*B17)+2.5,1/2)</f>
        <v>2.7193438494822115</v>
      </c>
      <c r="C18" s="18">
        <f>ABS(B18-B17)</f>
        <v>6.6903604172274811E-6</v>
      </c>
      <c r="F18" s="17">
        <v>12</v>
      </c>
      <c r="G18" s="18">
        <f t="shared" si="0"/>
        <v>-0.91936159282575336</v>
      </c>
      <c r="H18" s="18">
        <f t="shared" si="1"/>
        <v>8.3324613579849327E-5</v>
      </c>
    </row>
    <row r="19" spans="1:8" x14ac:dyDescent="0.3">
      <c r="F19" s="17">
        <v>13</v>
      </c>
      <c r="G19" s="18">
        <f t="shared" si="0"/>
        <v>-0.91933342244574046</v>
      </c>
      <c r="H19" s="18">
        <f t="shared" si="1"/>
        <v>2.8170380012904062E-5</v>
      </c>
    </row>
    <row r="20" spans="1:8" x14ac:dyDescent="0.3">
      <c r="F20" s="17">
        <v>14</v>
      </c>
      <c r="G20" s="19">
        <f>-2.5/(1.8-G19)</f>
        <v>-0.91934294609284284</v>
      </c>
      <c r="H20" s="18">
        <f t="shared" si="1"/>
        <v>9.5236471023829594E-6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B1E0-3530-41FA-895B-57A9BF3C683A}">
  <dimension ref="A11:E26"/>
  <sheetViews>
    <sheetView workbookViewId="0">
      <selection activeCell="H7" sqref="H7"/>
    </sheetView>
  </sheetViews>
  <sheetFormatPr defaultRowHeight="14.4" x14ac:dyDescent="0.3"/>
  <cols>
    <col min="1" max="1" width="12.44140625" customWidth="1"/>
    <col min="2" max="2" width="13.88671875" customWidth="1"/>
    <col min="3" max="3" width="16.44140625" customWidth="1"/>
    <col min="4" max="4" width="14.6640625" customWidth="1"/>
    <col min="5" max="5" width="13.88671875" customWidth="1"/>
  </cols>
  <sheetData>
    <row r="11" spans="1:5" x14ac:dyDescent="0.3">
      <c r="A11" s="16" t="s">
        <v>17</v>
      </c>
      <c r="B11" s="17" t="s">
        <v>22</v>
      </c>
      <c r="C11" s="17" t="s">
        <v>23</v>
      </c>
      <c r="D11" s="16" t="s">
        <v>18</v>
      </c>
      <c r="E11" s="16" t="s">
        <v>19</v>
      </c>
    </row>
    <row r="12" spans="1:5" x14ac:dyDescent="0.3">
      <c r="A12" s="17">
        <v>0</v>
      </c>
      <c r="B12" s="17"/>
      <c r="C12" s="17"/>
      <c r="D12" s="17">
        <v>5</v>
      </c>
      <c r="E12" s="17"/>
    </row>
    <row r="13" spans="1:5" x14ac:dyDescent="0.3">
      <c r="A13" s="17">
        <v>1</v>
      </c>
      <c r="B13" s="18">
        <f>(-1*POWER(D12,2))+(1.8*D12)+2.5</f>
        <v>-13.5</v>
      </c>
      <c r="C13" s="18">
        <f>(-2*D12)+1.8</f>
        <v>-8.1999999999999993</v>
      </c>
      <c r="D13" s="18">
        <f>POWER((1.8*D12)+2.5,1/2)</f>
        <v>3.3911649915626341</v>
      </c>
      <c r="E13" s="18">
        <f>ABS(D13-D12)</f>
        <v>1.6088350084373659</v>
      </c>
    </row>
    <row r="14" spans="1:5" x14ac:dyDescent="0.3">
      <c r="A14">
        <v>2</v>
      </c>
      <c r="B14" s="18">
        <f t="shared" ref="B14:B26" si="0">(-1*POWER(D13,2))+(1.8*D13)+2.5</f>
        <v>-2.8959030151872582</v>
      </c>
      <c r="C14" s="18">
        <f t="shared" ref="C14:C26" si="1">(-2*D13)+1.8</f>
        <v>-4.9823299831252683</v>
      </c>
      <c r="D14" s="18">
        <f t="shared" ref="D14:D26" si="2">POWER((1.8*D13)+2.5,1/2)</f>
        <v>2.9332741066618273</v>
      </c>
      <c r="E14" s="18">
        <f t="shared" ref="E14:E26" si="3">ABS(D14-D13)</f>
        <v>0.45789088490080676</v>
      </c>
    </row>
    <row r="15" spans="1:5" x14ac:dyDescent="0.3">
      <c r="A15">
        <v>3</v>
      </c>
      <c r="B15" s="18">
        <f t="shared" si="0"/>
        <v>-0.82420359282145217</v>
      </c>
      <c r="C15" s="18">
        <f t="shared" si="1"/>
        <v>-4.0665482133236548</v>
      </c>
      <c r="D15" s="18">
        <f t="shared" si="2"/>
        <v>2.7892460257193679</v>
      </c>
      <c r="E15" s="18">
        <f t="shared" si="3"/>
        <v>0.14402808094245945</v>
      </c>
    </row>
    <row r="16" spans="1:5" x14ac:dyDescent="0.3">
      <c r="A16" s="17">
        <v>4</v>
      </c>
      <c r="B16" s="18">
        <f t="shared" si="0"/>
        <v>-0.25925054569642647</v>
      </c>
      <c r="C16" s="18">
        <f t="shared" si="1"/>
        <v>-3.7784920514387359</v>
      </c>
      <c r="D16" s="18">
        <f t="shared" si="2"/>
        <v>2.7423790486172517</v>
      </c>
      <c r="E16" s="18">
        <f t="shared" si="3"/>
        <v>4.6866977102116181E-2</v>
      </c>
    </row>
    <row r="17" spans="1:5" x14ac:dyDescent="0.3">
      <c r="A17" s="17">
        <v>5</v>
      </c>
      <c r="B17" s="18">
        <f t="shared" si="0"/>
        <v>-8.436055878380877E-2</v>
      </c>
      <c r="C17" s="18">
        <f t="shared" si="1"/>
        <v>-3.6847580972345035</v>
      </c>
      <c r="D17" s="18">
        <f t="shared" si="2"/>
        <v>2.7269547644783279</v>
      </c>
      <c r="E17" s="18">
        <f t="shared" si="3"/>
        <v>1.5424284138923827E-2</v>
      </c>
    </row>
    <row r="18" spans="1:5" x14ac:dyDescent="0.3">
      <c r="A18">
        <v>6</v>
      </c>
      <c r="B18" s="18">
        <f t="shared" si="0"/>
        <v>-2.7763711450062623E-2</v>
      </c>
      <c r="C18" s="18">
        <f t="shared" si="1"/>
        <v>-3.6539095289566559</v>
      </c>
      <c r="D18" s="18">
        <f t="shared" si="2"/>
        <v>2.7218593968206717</v>
      </c>
      <c r="E18" s="18">
        <f t="shared" si="3"/>
        <v>5.0953676576561691E-3</v>
      </c>
    </row>
    <row r="19" spans="1:5" x14ac:dyDescent="0.3">
      <c r="A19">
        <v>7</v>
      </c>
      <c r="B19" s="18">
        <f t="shared" si="0"/>
        <v>-9.1716617837818148E-3</v>
      </c>
      <c r="C19" s="18">
        <f t="shared" si="1"/>
        <v>-3.6437187936413435</v>
      </c>
      <c r="D19" s="18">
        <f t="shared" si="2"/>
        <v>2.7201740595552355</v>
      </c>
      <c r="E19" s="18">
        <f t="shared" si="3"/>
        <v>1.685337265436182E-3</v>
      </c>
    </row>
    <row r="20" spans="1:5" x14ac:dyDescent="0.3">
      <c r="A20" s="17">
        <v>8</v>
      </c>
      <c r="B20" s="18">
        <f t="shared" si="0"/>
        <v>-3.0336070777856605E-3</v>
      </c>
      <c r="C20" s="18">
        <f t="shared" si="1"/>
        <v>-3.6403481191104712</v>
      </c>
      <c r="D20" s="18">
        <f t="shared" si="2"/>
        <v>2.7196163897137082</v>
      </c>
      <c r="E20" s="18">
        <f t="shared" si="3"/>
        <v>5.5766984152727517E-4</v>
      </c>
    </row>
    <row r="21" spans="1:5" x14ac:dyDescent="0.3">
      <c r="A21" s="17">
        <v>9</v>
      </c>
      <c r="B21" s="18">
        <f t="shared" si="0"/>
        <v>-1.0038057147490065E-3</v>
      </c>
      <c r="C21" s="18">
        <f t="shared" si="1"/>
        <v>-3.6392327794274166</v>
      </c>
      <c r="D21" s="18">
        <f t="shared" si="2"/>
        <v>2.719431834314785</v>
      </c>
      <c r="E21" s="18">
        <f t="shared" si="3"/>
        <v>1.8455539892325845E-4</v>
      </c>
    </row>
    <row r="22" spans="1:5" x14ac:dyDescent="0.3">
      <c r="A22">
        <v>10</v>
      </c>
      <c r="B22" s="18">
        <f t="shared" si="0"/>
        <v>-3.3219971806275339E-4</v>
      </c>
      <c r="C22" s="18">
        <f t="shared" si="1"/>
        <v>-3.6388636686295701</v>
      </c>
      <c r="D22" s="18">
        <f t="shared" si="2"/>
        <v>2.7193707547457762</v>
      </c>
      <c r="E22" s="18">
        <f t="shared" si="3"/>
        <v>6.1079569008803958E-5</v>
      </c>
    </row>
    <row r="23" spans="1:5" x14ac:dyDescent="0.3">
      <c r="A23">
        <v>11</v>
      </c>
      <c r="B23" s="18">
        <f t="shared" si="0"/>
        <v>-1.0994322421531422E-4</v>
      </c>
      <c r="C23" s="18">
        <f t="shared" si="1"/>
        <v>-3.6387415094915525</v>
      </c>
      <c r="D23" s="18">
        <f t="shared" si="2"/>
        <v>2.7193505398426288</v>
      </c>
      <c r="E23" s="18">
        <f t="shared" si="3"/>
        <v>2.0214903147408592E-5</v>
      </c>
    </row>
    <row r="24" spans="1:5" x14ac:dyDescent="0.3">
      <c r="A24" s="17">
        <v>12</v>
      </c>
      <c r="B24" s="18">
        <f t="shared" si="0"/>
        <v>-3.6386825664536104E-5</v>
      </c>
      <c r="C24" s="18">
        <f t="shared" si="1"/>
        <v>-3.6387010796852577</v>
      </c>
      <c r="D24" s="18">
        <f t="shared" si="2"/>
        <v>2.7193438494822115</v>
      </c>
      <c r="E24" s="18">
        <f t="shared" si="3"/>
        <v>6.6903604172274811E-6</v>
      </c>
    </row>
    <row r="25" spans="1:5" x14ac:dyDescent="0.3">
      <c r="A25" s="17">
        <v>13</v>
      </c>
      <c r="B25" s="18">
        <f t="shared" si="0"/>
        <v>-1.2042648751986462E-5</v>
      </c>
      <c r="C25" s="18">
        <f t="shared" si="1"/>
        <v>-3.6386876989644232</v>
      </c>
      <c r="D25" s="18">
        <f t="shared" si="2"/>
        <v>2.7193416352249637</v>
      </c>
      <c r="E25" s="18">
        <f t="shared" si="3"/>
        <v>2.2142572477790168E-6</v>
      </c>
    </row>
    <row r="26" spans="1:5" x14ac:dyDescent="0.3">
      <c r="A26">
        <v>14</v>
      </c>
      <c r="B26" s="18">
        <f t="shared" si="0"/>
        <v>-3.9856630449364161E-6</v>
      </c>
      <c r="C26" s="18">
        <f t="shared" si="1"/>
        <v>-3.6386832704499277</v>
      </c>
      <c r="D26" s="18">
        <f t="shared" si="2"/>
        <v>2.7193409023888373</v>
      </c>
      <c r="E26" s="18">
        <f t="shared" si="3"/>
        <v>7.3283612644914342E-7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D7F6-3677-42D2-8802-1781A9AF7C66}">
  <dimension ref="A11:G12"/>
  <sheetViews>
    <sheetView workbookViewId="0">
      <selection activeCell="D12" sqref="D12"/>
    </sheetView>
  </sheetViews>
  <sheetFormatPr defaultRowHeight="14.4" x14ac:dyDescent="0.3"/>
  <cols>
    <col min="1" max="7" width="12.109375" customWidth="1"/>
  </cols>
  <sheetData>
    <row r="11" spans="1:7" x14ac:dyDescent="0.3">
      <c r="A11" t="s">
        <v>17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19</v>
      </c>
    </row>
    <row r="12" spans="1:7" x14ac:dyDescent="0.3">
      <c r="A12">
        <v>0</v>
      </c>
      <c r="B12">
        <v>4</v>
      </c>
      <c r="C1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6234-DF61-43F5-8706-F552D2A14C48}">
  <dimension ref="A1"/>
  <sheetViews>
    <sheetView workbookViewId="0">
      <selection activeCell="R9" sqref="R9"/>
    </sheetView>
  </sheetViews>
  <sheetFormatPr defaultColWidth="9.109375" defaultRowHeight="18" x14ac:dyDescent="0.35"/>
  <cols>
    <col min="1" max="16384" width="9.10937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7158-94D9-4DEC-A2F2-32F388647184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B-BagiDua</vt:lpstr>
      <vt:lpstr>B-RegulaFalsi</vt:lpstr>
      <vt:lpstr>B_literasi Sederhana</vt:lpstr>
      <vt:lpstr>B-Neuton Raphson</vt:lpstr>
      <vt:lpstr>B-Scant</vt:lpstr>
      <vt:lpstr>IKI-BagiDua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Marti</dc:creator>
  <cp:lastModifiedBy>darma tanaya</cp:lastModifiedBy>
  <dcterms:created xsi:type="dcterms:W3CDTF">2025-09-17T06:01:52Z</dcterms:created>
  <dcterms:modified xsi:type="dcterms:W3CDTF">2025-09-24T07:55:05Z</dcterms:modified>
</cp:coreProperties>
</file>